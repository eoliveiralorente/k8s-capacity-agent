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Leads" sheetId="2" state="visible" r:id="rId4"/>
    <sheet name="Pilotos" sheetId="3" state="visible" r:id="rId5"/>
    <sheet name="Clientes" sheetId="4" state="visible" r:id="rId6"/>
    <sheet name="Como usar" sheetId="5" state="visible" r:id="rId7"/>
  </sheets>
  <definedNames>
    <definedName function="false" hidden="true" localSheetId="3" name="_xlnm._FilterDatabase" vbProcedure="false">Clientes!$A$1:$N$201</definedName>
    <definedName function="false" hidden="true" localSheetId="1" name="_xlnm._FilterDatabase" vbProcedure="false">Leads!$A$1:$O$201</definedName>
    <definedName function="false" hidden="true" localSheetId="2" name="_xlnm._FilterDatabase" vbProcedure="false">Pilotos!$A$1:$Q$201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<sst xmlns="http://schemas.openxmlformats.org/spreadsheetml/2006/main" count="104" uniqueCount="92">
  <si>
    <t xml:space="preserve">Capacity Agent — clientes e leads</t>
  </si>
  <si>
    <t xml:space="preserve">A linha 2 de cada aba é um exemplo e não entra nas contas abaixo.</t>
  </si>
  <si>
    <t xml:space="preserve">Funil de leads</t>
  </si>
  <si>
    <t xml:space="preserve">Novo</t>
  </si>
  <si>
    <t xml:space="preserve">Respondido</t>
  </si>
  <si>
    <t xml:space="preserve">Kit enviado</t>
  </si>
  <si>
    <t xml:space="preserve">Instalado</t>
  </si>
  <si>
    <t xml:space="preserve">Piloto</t>
  </si>
  <si>
    <t xml:space="preserve">Proposta</t>
  </si>
  <si>
    <t xml:space="preserve">Ganho</t>
  </si>
  <si>
    <t xml:space="preserve">Perdido</t>
  </si>
  <si>
    <t xml:space="preserve">Frio</t>
  </si>
  <si>
    <t xml:space="preserve">Pilotos</t>
  </si>
  <si>
    <t xml:space="preserve">Em teste</t>
  </si>
  <si>
    <t xml:space="preserve">Proposta enviada</t>
  </si>
  <si>
    <t xml:space="preserve">Tokens com alerta</t>
  </si>
  <si>
    <t xml:space="preserve">Abra a aba Pilotos e veja a coluna Alerta</t>
  </si>
  <si>
    <t xml:space="preserve">Taxa de conversão (ganhos ÷ encerrados)</t>
  </si>
  <si>
    <t xml:space="preserve">Clientes</t>
  </si>
  <si>
    <t xml:space="preserve">Clientes ativos</t>
  </si>
  <si>
    <t xml:space="preserve">Licença ainda não vencida</t>
  </si>
  <si>
    <t xml:space="preserve">Receita mensal (MRR)</t>
  </si>
  <si>
    <t xml:space="preserve">Soma do valor mensal dos clientes ativos</t>
  </si>
  <si>
    <t xml:space="preserve">Receita no ano</t>
  </si>
  <si>
    <t xml:space="preserve">Anual conta 10 meses; mensal conta 12</t>
  </si>
  <si>
    <t xml:space="preserve">Renovações nos próximos 30 dias</t>
  </si>
  <si>
    <t xml:space="preserve">Data de entrada</t>
  </si>
  <si>
    <t xml:space="preserve">Nome</t>
  </si>
  <si>
    <t xml:space="preserve">Empresa</t>
  </si>
  <si>
    <t xml:space="preserve">Cargo</t>
  </si>
  <si>
    <t xml:space="preserve">WhatsApp ou e-mail</t>
  </si>
  <si>
    <t xml:space="preserve">Origem</t>
  </si>
  <si>
    <t xml:space="preserve">Clusters</t>
  </si>
  <si>
    <t xml:space="preserve">Nodes (aprox.)</t>
  </si>
  <si>
    <t xml:space="preserve">Onde roda</t>
  </si>
  <si>
    <t xml:space="preserve">Versão do Kubernetes</t>
  </si>
  <si>
    <t xml:space="preserve">Status</t>
  </si>
  <si>
    <t xml:space="preserve">Próximo passo</t>
  </si>
  <si>
    <t xml:space="preserve">Data do próximo passo</t>
  </si>
  <si>
    <t xml:space="preserve">Dias parado (sem próximo passo em dia)</t>
  </si>
  <si>
    <t xml:space="preserve">Observações</t>
  </si>
  <si>
    <t xml:space="preserve">Exemplo: Ana Souza</t>
  </si>
  <si>
    <t xml:space="preserve">Exemplo Ltda</t>
  </si>
  <si>
    <t xml:space="preserve">Gerente de Infra</t>
  </si>
  <si>
    <t xml:space="preserve">(11) 90000-0000</t>
  </si>
  <si>
    <t xml:space="preserve">Site</t>
  </si>
  <si>
    <t xml:space="preserve">AWS</t>
  </si>
  <si>
    <t xml:space="preserve">1.30</t>
  </si>
  <si>
    <t xml:space="preserve">Instalar por chamada</t>
  </si>
  <si>
    <t xml:space="preserve">Linha de exemplo: apague ou sobrescreva</t>
  </si>
  <si>
    <t xml:space="preserve">Contato</t>
  </si>
  <si>
    <t xml:space="preserve">Decisor (nome e cargo)</t>
  </si>
  <si>
    <t xml:space="preserve">Data do kit</t>
  </si>
  <si>
    <t xml:space="preserve">Data da instalação</t>
  </si>
  <si>
    <t xml:space="preserve">Fim do teste (+30 dias)</t>
  </si>
  <si>
    <t xml:space="preserve">Fim do token (+45 dias do kit)</t>
  </si>
  <si>
    <t xml:space="preserve">Dias até o token vencer</t>
  </si>
  <si>
    <t xml:space="preserve">Alerta</t>
  </si>
  <si>
    <t xml:space="preserve">Nota inicial</t>
  </si>
  <si>
    <t xml:space="preserve">Riscos críticos</t>
  </si>
  <si>
    <t xml:space="preserve">Diagnóstico (dia 7)</t>
  </si>
  <si>
    <t xml:space="preserve">Proposta (dia 21)</t>
  </si>
  <si>
    <t xml:space="preserve">Plano proposto</t>
  </si>
  <si>
    <t xml:space="preserve">Valor mensal proposto</t>
  </si>
  <si>
    <t xml:space="preserve">Motivo (se perdido)</t>
  </si>
  <si>
    <t xml:space="preserve">Ana Souza</t>
  </si>
  <si>
    <t xml:space="preserve">Carlos Lima, Diretor de TI</t>
  </si>
  <si>
    <t xml:space="preserve">Profissional</t>
  </si>
  <si>
    <t xml:space="preserve">Contato financeiro</t>
  </si>
  <si>
    <t xml:space="preserve">Plano</t>
  </si>
  <si>
    <t xml:space="preserve">Cobrança</t>
  </si>
  <si>
    <t xml:space="preserve">Início do contrato</t>
  </si>
  <si>
    <t xml:space="preserve">Fim da licença</t>
  </si>
  <si>
    <t xml:space="preserve">Valor mensal</t>
  </si>
  <si>
    <t xml:space="preserve">Dias para renovar</t>
  </si>
  <si>
    <t xml:space="preserve">Fim do token</t>
  </si>
  <si>
    <t xml:space="preserve">Serviços contratados</t>
  </si>
  <si>
    <t xml:space="preserve">financeiro@exemplo.com.br</t>
  </si>
  <si>
    <t xml:space="preserve">Anual</t>
  </si>
  <si>
    <t xml:space="preserve">Implantação acompanhada</t>
  </si>
  <si>
    <t xml:space="preserve">Linha de exemplo</t>
  </si>
  <si>
    <t xml:space="preserve">Como usar esta planilha</t>
  </si>
  <si>
    <t xml:space="preserve">Células brancas: você preenche. Células cinza: calculadas sozinhas, não edite.</t>
  </si>
  <si>
    <t xml:space="preserve">Colunas com lista (Origem, Status, Plano, Cobrança): escolha o valor na setinha da célula.</t>
  </si>
  <si>
    <t xml:space="preserve">A linha 2 de cada aba é um exemplo, em cinza itálico. Use como modelo e depois apague ou sobrescreva.</t>
  </si>
  <si>
    <t xml:space="preserve">Leads: todo contato novo entra aqui no mesmo dia. Atualize o Status e o Próximo passo a cada conversa.</t>
  </si>
  <si>
    <t xml:space="preserve">Pilotos: quando o lead recebe o kit, crie a linha aqui. As datas do dia 7, dia 21, fim do teste e fim do token são calculadas.</t>
  </si>
  <si>
    <t xml:space="preserve">A coluna Alerta avisa quando o token vence em até 7 dias e quando um piloto encerrado ainda tem token ativo para revogar.</t>
  </si>
  <si>
    <t xml:space="preserve">Clientes: quando fechar contrato, crie a linha aqui. O Alerta avisa a renovação da licença 30 dias antes e do token 15 dias antes.</t>
  </si>
  <si>
    <t xml:space="preserve">Resumo: funil, conversão e receita, atualizados sozinhos.</t>
  </si>
  <si>
    <t xml:space="preserve">Datas no formato DD/MM/AAAA. Valores em reais, sem o símbolo.</t>
  </si>
  <si>
    <t xml:space="preserve">Roteiro completo de atendimento: documento "Roteiro de atendimento — Capacity Agent".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</si>
</sst>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\-"/>
    <numFmt numFmtId="166" formatCode="0%"/>
    <numFmt numFmtId="167" formatCode="&quot;R$ &quot;#,##0;&quot;-R$ &quot;#,##0;\-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7A7A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>
          <bgColor rgb="FFFDE7C4"/>
        </patternFill>
      </fill>
    </dxf>
    <dxf>
      <font>
        <name val="Arial"/>
        <charset val="1"/>
        <family val="0"/>
        <b val="1"/>
        <color rgb="FF9A3412"/>
      </font>
      <fill>
        <patternFill>
          <bgColor rgb="FFFDE7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DE7C4"/>
      <rgbColor rgb="FFEEF1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COUNTIF(Leads!$K$3:$K$201,"Novo")</f>
        <v>0</v>
      </c>
    </row>
    <row r="6" customFormat="false" ht="15" hidden="false" customHeight="false" outlineLevel="0" collapsed="false">
      <c r="A6" s="4" t="s">
        <v>4</v>
      </c>
      <c r="B6" s="5" t="n">
        <f aca="false">COUNTIF(Leads!$K$3:$K$201,"Respondido")</f>
        <v>0</v>
      </c>
    </row>
    <row r="7" customFormat="false" ht="15" hidden="false" customHeight="false" outlineLevel="0" collapsed="false">
      <c r="A7" s="4" t="s">
        <v>5</v>
      </c>
      <c r="B7" s="5" t="n">
        <f aca="false">COUNTIF(Leads!$K$3:$K$201,"Kit enviado")</f>
        <v>0</v>
      </c>
    </row>
    <row r="8" customFormat="false" ht="15" hidden="false" customHeight="false" outlineLevel="0" collapsed="false">
      <c r="A8" s="4" t="s">
        <v>6</v>
      </c>
      <c r="B8" s="5" t="n">
        <f aca="false">COUNTIF(Leads!$K$3:$K$201,"Instalado")</f>
        <v>0</v>
      </c>
    </row>
    <row r="9" customFormat="false" ht="15" hidden="false" customHeight="false" outlineLevel="0" collapsed="false">
      <c r="A9" s="4" t="s">
        <v>7</v>
      </c>
      <c r="B9" s="5" t="n">
        <f aca="false">COUNTIF(Leads!$K$3:$K$201,"Piloto")</f>
        <v>0</v>
      </c>
    </row>
    <row r="10" customFormat="false" ht="15" hidden="false" customHeight="false" outlineLevel="0" collapsed="false">
      <c r="A10" s="4" t="s">
        <v>8</v>
      </c>
      <c r="B10" s="5" t="n">
        <f aca="false">COUNTIF(Leads!$K$3:$K$201,"Proposta")</f>
        <v>0</v>
      </c>
    </row>
    <row r="11" customFormat="false" ht="15" hidden="false" customHeight="false" outlineLevel="0" collapsed="false">
      <c r="A11" s="4" t="s">
        <v>9</v>
      </c>
      <c r="B11" s="5" t="n">
        <f aca="false">COUNTIF(Leads!$K$3:$K$201,"Ganho")</f>
        <v>0</v>
      </c>
    </row>
    <row r="12" customFormat="false" ht="15" hidden="false" customHeight="false" outlineLevel="0" collapsed="false">
      <c r="A12" s="4" t="s">
        <v>10</v>
      </c>
      <c r="B12" s="5" t="n">
        <f aca="false">COUNTIF(Leads!$K$3:$K$201,"Perdido")</f>
        <v>0</v>
      </c>
    </row>
    <row r="13" customFormat="false" ht="15" hidden="false" customHeight="false" outlineLevel="0" collapsed="false">
      <c r="A13" s="4" t="s">
        <v>11</v>
      </c>
      <c r="B13" s="5" t="n">
        <f aca="false">COUNTIF(Leads!$K$3:$K$201,"Frio")</f>
        <v>0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4" t="s">
        <v>13</v>
      </c>
      <c r="B16" s="5" t="n">
        <f aca="false">COUNTIF(Pilotos!$P$3:$P$201,"Em teste")</f>
        <v>0</v>
      </c>
    </row>
    <row r="17" customFormat="false" ht="15" hidden="false" customHeight="false" outlineLevel="0" collapsed="false">
      <c r="A17" s="4" t="s">
        <v>14</v>
      </c>
      <c r="B17" s="5" t="n">
        <f aca="false">COUNTIF(Pilotos!$P$3:$P$201,"Proposta enviada")</f>
        <v>0</v>
      </c>
    </row>
    <row r="18" customFormat="false" ht="15" hidden="false" customHeight="false" outlineLevel="0" collapsed="false">
      <c r="A18" s="4" t="s">
        <v>15</v>
      </c>
      <c r="B18" s="5" t="n">
        <f aca="false">COUNTIF(Pilotos!$I$3:$I$201,"?*")</f>
        <v>0</v>
      </c>
      <c r="C18" s="6" t="s">
        <v>16</v>
      </c>
    </row>
    <row r="19" customFormat="false" ht="15" hidden="false" customHeight="false" outlineLevel="0" collapsed="false">
      <c r="A19" s="4" t="s">
        <v>17</v>
      </c>
      <c r="B19" s="7" t="str">
        <f aca="false">IFERROR(COUNTIF(Pilotos!$P$3:$P$201,"Ganho")/(COUNTIF(Pilotos!$P$3:$P$201,"Ganho")+COUNTIF(Pilotos!$P$3:$P$201,"Perdido")),"")</f>
        <v/>
      </c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4" t="s">
        <v>19</v>
      </c>
      <c r="B22" s="5" t="n">
        <f aca="false">COUNTIFS(Clientes!$A$3:$A$201,"?*",Clientes!$I$3:$I$201,"&gt;=0")</f>
        <v>0</v>
      </c>
      <c r="C22" s="6" t="s">
        <v>20</v>
      </c>
    </row>
    <row r="23" customFormat="false" ht="15" hidden="false" customHeight="false" outlineLevel="0" collapsed="false">
      <c r="A23" s="4" t="s">
        <v>21</v>
      </c>
      <c r="B23" s="8" t="n">
        <f aca="false">SUMIFS(Clientes!$G$3:$G$201,Clientes!$I$3:$I$201,"&gt;=0")</f>
        <v>0</v>
      </c>
      <c r="C23" s="6" t="s">
        <v>22</v>
      </c>
    </row>
    <row r="24" customFormat="false" ht="15" hidden="false" customHeight="false" outlineLevel="0" collapsed="false">
      <c r="A24" s="4" t="s">
        <v>23</v>
      </c>
      <c r="B24" s="8" t="n">
        <f aca="false">SUMIFS(Clientes!$H$3:$H$201,Clientes!$I$3:$I$201,"&gt;=0")</f>
        <v>0</v>
      </c>
      <c r="C24" s="6" t="s">
        <v>24</v>
      </c>
    </row>
    <row r="25" customFormat="false" ht="15" hidden="false" customHeight="false" outlineLevel="0" collapsed="false">
      <c r="A25" s="4" t="s">
        <v>25</v>
      </c>
      <c r="B25" s="5" t="n">
        <f aca="false">COUNTIFS(Clientes!$I$3:$I$201,"&gt;=0",Clientes!$I$3:$I$201,"&lt;=30")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  <c r="N1" s="9" t="s">
        <v>39</v>
      </c>
      <c r="O1" s="9" t="s">
        <v>40</v>
      </c>
    </row>
    <row r="2" customFormat="false" ht="15" hidden="false" customHeight="false" outlineLevel="0" collapsed="false">
      <c r="A2" s="10" t="n">
        <v>46322</v>
      </c>
      <c r="B2" s="11" t="s">
        <v>41</v>
      </c>
      <c r="C2" s="11" t="s">
        <v>42</v>
      </c>
      <c r="D2" s="11" t="s">
        <v>43</v>
      </c>
      <c r="E2" s="11" t="s">
        <v>44</v>
      </c>
      <c r="F2" s="11" t="s">
        <v>45</v>
      </c>
      <c r="G2" s="12" t="n">
        <v>2</v>
      </c>
      <c r="H2" s="12" t="n">
        <v>30</v>
      </c>
      <c r="I2" s="11" t="s">
        <v>46</v>
      </c>
      <c r="J2" s="11" t="s">
        <v>47</v>
      </c>
      <c r="K2" s="11" t="s">
        <v>5</v>
      </c>
      <c r="L2" s="11" t="s">
        <v>48</v>
      </c>
      <c r="M2" s="10" t="n">
        <v>46323</v>
      </c>
      <c r="N2" s="13" t="n">
        <f aca="true">IF(OR(A2="",K2="Ganho",K2="Perdido"),"",TODAY()-IF(M2="",A2,MIN(M2,TODAY())))</f>
        <v>0</v>
      </c>
      <c r="O2" s="11" t="s">
        <v>49</v>
      </c>
    </row>
    <row r="3" customFormat="false" ht="15" hidden="false" customHeight="false" outlineLevel="0" collapsed="false">
      <c r="A3" s="14"/>
      <c r="B3" s="15"/>
      <c r="C3" s="15"/>
      <c r="D3" s="15"/>
      <c r="E3" s="15"/>
      <c r="F3" s="15"/>
      <c r="G3" s="16"/>
      <c r="H3" s="16"/>
      <c r="I3" s="15"/>
      <c r="J3" s="15"/>
      <c r="K3" s="15"/>
      <c r="L3" s="15"/>
      <c r="M3" s="14"/>
      <c r="N3" s="17" t="str">
        <f aca="true">IF(OR(A3="",K3="Ganho",K3="Perdido"),"",TODAY()-IF(M3="",A3,MIN(M3,TODAY())))</f>
        <v/>
      </c>
      <c r="O3" s="15"/>
    </row>
    <row r="4" customFormat="false" ht="15" hidden="false" customHeight="false" outlineLevel="0" collapsed="false">
      <c r="A4" s="14"/>
      <c r="B4" s="15"/>
      <c r="C4" s="15"/>
      <c r="D4" s="15"/>
      <c r="E4" s="15"/>
      <c r="F4" s="15"/>
      <c r="G4" s="16"/>
      <c r="H4" s="16"/>
      <c r="I4" s="15"/>
      <c r="J4" s="15"/>
      <c r="K4" s="15"/>
      <c r="L4" s="15"/>
      <c r="M4" s="14"/>
      <c r="N4" s="17" t="str">
        <f aca="true">IF(OR(A4="",K4="Ganho",K4="Perdido"),"",TODAY()-IF(M4="",A4,MIN(M4,TODAY())))</f>
        <v/>
      </c>
      <c r="O4" s="15"/>
    </row>
    <row r="5" customFormat="false" ht="15" hidden="false" customHeight="false" outlineLevel="0" collapsed="false">
      <c r="A5" s="14"/>
      <c r="B5" s="15"/>
      <c r="C5" s="15"/>
      <c r="D5" s="15"/>
      <c r="E5" s="15"/>
      <c r="F5" s="15"/>
      <c r="G5" s="16"/>
      <c r="H5" s="16"/>
      <c r="I5" s="15"/>
      <c r="J5" s="15"/>
      <c r="K5" s="15"/>
      <c r="L5" s="15"/>
      <c r="M5" s="14"/>
      <c r="N5" s="17" t="str">
        <f aca="true">IF(OR(A5="",K5="Ganho",K5="Perdido"),"",TODAY()-IF(M5="",A5,MIN(M5,TODAY())))</f>
        <v/>
      </c>
      <c r="O5" s="15"/>
    </row>
    <row r="6" customFormat="false" ht="15" hidden="false" customHeight="false" outlineLevel="0" collapsed="false">
      <c r="A6" s="14"/>
      <c r="B6" s="15"/>
      <c r="C6" s="15"/>
      <c r="D6" s="15"/>
      <c r="E6" s="15"/>
      <c r="F6" s="15"/>
      <c r="G6" s="16"/>
      <c r="H6" s="16"/>
      <c r="I6" s="15"/>
      <c r="J6" s="15"/>
      <c r="K6" s="15"/>
      <c r="L6" s="15"/>
      <c r="M6" s="14"/>
      <c r="N6" s="17" t="str">
        <f aca="true">IF(OR(A6="",K6="Ganho",K6="Perdido"),"",TODAY()-IF(M6="",A6,MIN(M6,TODAY())))</f>
        <v/>
      </c>
      <c r="O6" s="15"/>
    </row>
    <row r="7" customFormat="false" ht="15" hidden="false" customHeight="false" outlineLevel="0" collapsed="false">
      <c r="A7" s="14"/>
      <c r="B7" s="15"/>
      <c r="C7" s="15"/>
      <c r="D7" s="15"/>
      <c r="E7" s="15"/>
      <c r="F7" s="15"/>
      <c r="G7" s="16"/>
      <c r="H7" s="16"/>
      <c r="I7" s="15"/>
      <c r="J7" s="15"/>
      <c r="K7" s="15"/>
      <c r="L7" s="15"/>
      <c r="M7" s="14"/>
      <c r="N7" s="17" t="str">
        <f aca="true">IF(OR(A7="",K7="Ganho",K7="Perdido"),"",TODAY()-IF(M7="",A7,MIN(M7,TODAY())))</f>
        <v/>
      </c>
      <c r="O7" s="15"/>
    </row>
    <row r="8" customFormat="false" ht="15" hidden="false" customHeight="false" outlineLevel="0" collapsed="false">
      <c r="A8" s="14"/>
      <c r="B8" s="15"/>
      <c r="C8" s="15"/>
      <c r="D8" s="15"/>
      <c r="E8" s="15"/>
      <c r="F8" s="15"/>
      <c r="G8" s="16"/>
      <c r="H8" s="16"/>
      <c r="I8" s="15"/>
      <c r="J8" s="15"/>
      <c r="K8" s="15"/>
      <c r="L8" s="15"/>
      <c r="M8" s="14"/>
      <c r="N8" s="17" t="str">
        <f aca="true">IF(OR(A8="",K8="Ganho",K8="Perdido"),"",TODAY()-IF(M8="",A8,MIN(M8,TODAY())))</f>
        <v/>
      </c>
      <c r="O8" s="15"/>
    </row>
    <row r="9" customFormat="false" ht="15" hidden="false" customHeight="false" outlineLevel="0" collapsed="false">
      <c r="A9" s="14"/>
      <c r="B9" s="15"/>
      <c r="C9" s="15"/>
      <c r="D9" s="15"/>
      <c r="E9" s="15"/>
      <c r="F9" s="15"/>
      <c r="G9" s="16"/>
      <c r="H9" s="16"/>
      <c r="I9" s="15"/>
      <c r="J9" s="15"/>
      <c r="K9" s="15"/>
      <c r="L9" s="15"/>
      <c r="M9" s="14"/>
      <c r="N9" s="17" t="str">
        <f aca="true">IF(OR(A9="",K9="Ganho",K9="Perdido"),"",TODAY()-IF(M9="",A9,MIN(M9,TODAY())))</f>
        <v/>
      </c>
      <c r="O9" s="15"/>
    </row>
    <row r="10" customFormat="false" ht="15" hidden="false" customHeight="false" outlineLevel="0" collapsed="false">
      <c r="A10" s="14"/>
      <c r="B10" s="15"/>
      <c r="C10" s="15"/>
      <c r="D10" s="15"/>
      <c r="E10" s="15"/>
      <c r="F10" s="15"/>
      <c r="G10" s="16"/>
      <c r="H10" s="16"/>
      <c r="I10" s="15"/>
      <c r="J10" s="15"/>
      <c r="K10" s="15"/>
      <c r="L10" s="15"/>
      <c r="M10" s="14"/>
      <c r="N10" s="17" t="str">
        <f aca="true">IF(OR(A10="",K10="Ganho",K10="Perdido"),"",TODAY()-IF(M10="",A10,MIN(M10,TODAY())))</f>
        <v/>
      </c>
      <c r="O10" s="15"/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5"/>
      <c r="G11" s="16"/>
      <c r="H11" s="16"/>
      <c r="I11" s="15"/>
      <c r="J11" s="15"/>
      <c r="K11" s="15"/>
      <c r="L11" s="15"/>
      <c r="M11" s="14"/>
      <c r="N11" s="17" t="str">
        <f aca="true">IF(OR(A11="",K11="Ganho",K11="Perdido"),"",TODAY()-IF(M11="",A11,MIN(M11,TODAY())))</f>
        <v/>
      </c>
      <c r="O11" s="15"/>
    </row>
    <row r="12" customFormat="false" ht="15" hidden="false" customHeight="false" outlineLevel="0" collapsed="false">
      <c r="A12" s="14"/>
      <c r="B12" s="15"/>
      <c r="C12" s="15"/>
      <c r="D12" s="15"/>
      <c r="E12" s="15"/>
      <c r="F12" s="15"/>
      <c r="G12" s="16"/>
      <c r="H12" s="16"/>
      <c r="I12" s="15"/>
      <c r="J12" s="15"/>
      <c r="K12" s="15"/>
      <c r="L12" s="15"/>
      <c r="M12" s="14"/>
      <c r="N12" s="17" t="str">
        <f aca="true">IF(OR(A12="",K12="Ganho",K12="Perdido"),"",TODAY()-IF(M12="",A12,MIN(M12,TODAY())))</f>
        <v/>
      </c>
      <c r="O12" s="15"/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5"/>
      <c r="G13" s="16"/>
      <c r="H13" s="16"/>
      <c r="I13" s="15"/>
      <c r="J13" s="15"/>
      <c r="K13" s="15"/>
      <c r="L13" s="15"/>
      <c r="M13" s="14"/>
      <c r="N13" s="17" t="str">
        <f aca="true">IF(OR(A13="",K13="Ganho",K13="Perdido"),"",TODAY()-IF(M13="",A13,MIN(M13,TODAY())))</f>
        <v/>
      </c>
      <c r="O13" s="15"/>
    </row>
    <row r="14" customFormat="false" ht="15" hidden="false" customHeight="false" outlineLevel="0" collapsed="false">
      <c r="A14" s="14"/>
      <c r="B14" s="15"/>
      <c r="C14" s="15"/>
      <c r="D14" s="15"/>
      <c r="E14" s="15"/>
      <c r="F14" s="15"/>
      <c r="G14" s="16"/>
      <c r="H14" s="16"/>
      <c r="I14" s="15"/>
      <c r="J14" s="15"/>
      <c r="K14" s="15"/>
      <c r="L14" s="15"/>
      <c r="M14" s="14"/>
      <c r="N14" s="17" t="str">
        <f aca="true">IF(OR(A14="",K14="Ganho",K14="Perdido"),"",TODAY()-IF(M14="",A14,MIN(M14,TODAY())))</f>
        <v/>
      </c>
      <c r="O14" s="15"/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5"/>
      <c r="G15" s="16"/>
      <c r="H15" s="16"/>
      <c r="I15" s="15"/>
      <c r="J15" s="15"/>
      <c r="K15" s="15"/>
      <c r="L15" s="15"/>
      <c r="M15" s="14"/>
      <c r="N15" s="17" t="str">
        <f aca="true">IF(OR(A15="",K15="Ganho",K15="Perdido"),"",TODAY()-IF(M15="",A15,MIN(M15,TODAY())))</f>
        <v/>
      </c>
      <c r="O15" s="15"/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5"/>
      <c r="G16" s="16"/>
      <c r="H16" s="16"/>
      <c r="I16" s="15"/>
      <c r="J16" s="15"/>
      <c r="K16" s="15"/>
      <c r="L16" s="15"/>
      <c r="M16" s="14"/>
      <c r="N16" s="17" t="str">
        <f aca="true">IF(OR(A16="",K16="Ganho",K16="Perdido"),"",TODAY()-IF(M16="",A16,MIN(M16,TODAY())))</f>
        <v/>
      </c>
      <c r="O16" s="15"/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5"/>
      <c r="G17" s="16"/>
      <c r="H17" s="16"/>
      <c r="I17" s="15"/>
      <c r="J17" s="15"/>
      <c r="K17" s="15"/>
      <c r="L17" s="15"/>
      <c r="M17" s="14"/>
      <c r="N17" s="17" t="str">
        <f aca="true">IF(OR(A17="",K17="Ganho",K17="Perdido"),"",TODAY()-IF(M17="",A17,MIN(M17,TODAY())))</f>
        <v/>
      </c>
      <c r="O17" s="15"/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5"/>
      <c r="G18" s="16"/>
      <c r="H18" s="16"/>
      <c r="I18" s="15"/>
      <c r="J18" s="15"/>
      <c r="K18" s="15"/>
      <c r="L18" s="15"/>
      <c r="M18" s="14"/>
      <c r="N18" s="17" t="str">
        <f aca="true">IF(OR(A18="",K18="Ganho",K18="Perdido"),"",TODAY()-IF(M18="",A18,MIN(M18,TODAY())))</f>
        <v/>
      </c>
      <c r="O18" s="15"/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5"/>
      <c r="G19" s="16"/>
      <c r="H19" s="16"/>
      <c r="I19" s="15"/>
      <c r="J19" s="15"/>
      <c r="K19" s="15"/>
      <c r="L19" s="15"/>
      <c r="M19" s="14"/>
      <c r="N19" s="17" t="str">
        <f aca="true">IF(OR(A19="",K19="Ganho",K19="Perdido"),"",TODAY()-IF(M19="",A19,MIN(M19,TODAY())))</f>
        <v/>
      </c>
      <c r="O19" s="15"/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5"/>
      <c r="G20" s="16"/>
      <c r="H20" s="16"/>
      <c r="I20" s="15"/>
      <c r="J20" s="15"/>
      <c r="K20" s="15"/>
      <c r="L20" s="15"/>
      <c r="M20" s="14"/>
      <c r="N20" s="17" t="str">
        <f aca="true">IF(OR(A20="",K20="Ganho",K20="Perdido"),"",TODAY()-IF(M20="",A20,MIN(M20,TODAY())))</f>
        <v/>
      </c>
      <c r="O20" s="15"/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5"/>
      <c r="G21" s="16"/>
      <c r="H21" s="16"/>
      <c r="I21" s="15"/>
      <c r="J21" s="15"/>
      <c r="K21" s="15"/>
      <c r="L21" s="15"/>
      <c r="M21" s="14"/>
      <c r="N21" s="17" t="str">
        <f aca="true">IF(OR(A21="",K21="Ganho",K21="Perdido"),"",TODAY()-IF(M21="",A21,MIN(M21,TODAY())))</f>
        <v/>
      </c>
      <c r="O21" s="15"/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5"/>
      <c r="G22" s="16"/>
      <c r="H22" s="16"/>
      <c r="I22" s="15"/>
      <c r="J22" s="15"/>
      <c r="K22" s="15"/>
      <c r="L22" s="15"/>
      <c r="M22" s="14"/>
      <c r="N22" s="17" t="str">
        <f aca="true">IF(OR(A22="",K22="Ganho",K22="Perdido"),"",TODAY()-IF(M22="",A22,MIN(M22,TODAY())))</f>
        <v/>
      </c>
      <c r="O22" s="15"/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5"/>
      <c r="G23" s="16"/>
      <c r="H23" s="16"/>
      <c r="I23" s="15"/>
      <c r="J23" s="15"/>
      <c r="K23" s="15"/>
      <c r="L23" s="15"/>
      <c r="M23" s="14"/>
      <c r="N23" s="17" t="str">
        <f aca="true">IF(OR(A23="",K23="Ganho",K23="Perdido"),"",TODAY()-IF(M23="",A23,MIN(M23,TODAY())))</f>
        <v/>
      </c>
      <c r="O23" s="15"/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5"/>
      <c r="G24" s="16"/>
      <c r="H24" s="16"/>
      <c r="I24" s="15"/>
      <c r="J24" s="15"/>
      <c r="K24" s="15"/>
      <c r="L24" s="15"/>
      <c r="M24" s="14"/>
      <c r="N24" s="17" t="str">
        <f aca="true">IF(OR(A24="",K24="Ganho",K24="Perdido"),"",TODAY()-IF(M24="",A24,MIN(M24,TODAY())))</f>
        <v/>
      </c>
      <c r="O24" s="15"/>
    </row>
    <row r="25" customFormat="false" ht="15" hidden="false" customHeight="false" outlineLevel="0" collapsed="false">
      <c r="A25" s="14"/>
      <c r="B25" s="15"/>
      <c r="C25" s="15"/>
      <c r="D25" s="15"/>
      <c r="E25" s="15"/>
      <c r="F25" s="15"/>
      <c r="G25" s="16"/>
      <c r="H25" s="16"/>
      <c r="I25" s="15"/>
      <c r="J25" s="15"/>
      <c r="K25" s="15"/>
      <c r="L25" s="15"/>
      <c r="M25" s="14"/>
      <c r="N25" s="17" t="str">
        <f aca="true">IF(OR(A25="",K25="Ganho",K25="Perdido"),"",TODAY()-IF(M25="",A25,MIN(M25,TODAY())))</f>
        <v/>
      </c>
      <c r="O25" s="15"/>
    </row>
    <row r="26" customFormat="false" ht="15" hidden="false" customHeight="false" outlineLevel="0" collapsed="false">
      <c r="A26" s="14"/>
      <c r="B26" s="15"/>
      <c r="C26" s="15"/>
      <c r="D26" s="15"/>
      <c r="E26" s="15"/>
      <c r="F26" s="15"/>
      <c r="G26" s="16"/>
      <c r="H26" s="16"/>
      <c r="I26" s="15"/>
      <c r="J26" s="15"/>
      <c r="K26" s="15"/>
      <c r="L26" s="15"/>
      <c r="M26" s="14"/>
      <c r="N26" s="17" t="str">
        <f aca="true">IF(OR(A26="",K26="Ganho",K26="Perdido"),"",TODAY()-IF(M26="",A26,MIN(M26,TODAY())))</f>
        <v/>
      </c>
      <c r="O26" s="15"/>
    </row>
    <row r="27" customFormat="false" ht="15" hidden="false" customHeight="false" outlineLevel="0" collapsed="false">
      <c r="A27" s="14"/>
      <c r="B27" s="15"/>
      <c r="C27" s="15"/>
      <c r="D27" s="15"/>
      <c r="E27" s="15"/>
      <c r="F27" s="15"/>
      <c r="G27" s="16"/>
      <c r="H27" s="16"/>
      <c r="I27" s="15"/>
      <c r="J27" s="15"/>
      <c r="K27" s="15"/>
      <c r="L27" s="15"/>
      <c r="M27" s="14"/>
      <c r="N27" s="17" t="str">
        <f aca="true">IF(OR(A27="",K27="Ganho",K27="Perdido"),"",TODAY()-IF(M27="",A27,MIN(M27,TODAY())))</f>
        <v/>
      </c>
      <c r="O27" s="15"/>
    </row>
    <row r="28" customFormat="false" ht="15" hidden="false" customHeight="false" outlineLevel="0" collapsed="false">
      <c r="A28" s="14"/>
      <c r="B28" s="15"/>
      <c r="C28" s="15"/>
      <c r="D28" s="15"/>
      <c r="E28" s="15"/>
      <c r="F28" s="15"/>
      <c r="G28" s="16"/>
      <c r="H28" s="16"/>
      <c r="I28" s="15"/>
      <c r="J28" s="15"/>
      <c r="K28" s="15"/>
      <c r="L28" s="15"/>
      <c r="M28" s="14"/>
      <c r="N28" s="17" t="str">
        <f aca="true">IF(OR(A28="",K28="Ganho",K28="Perdido"),"",TODAY()-IF(M28="",A28,MIN(M28,TODAY())))</f>
        <v/>
      </c>
      <c r="O28" s="15"/>
    </row>
    <row r="29" customFormat="false" ht="15" hidden="false" customHeight="false" outlineLevel="0" collapsed="false">
      <c r="A29" s="14"/>
      <c r="B29" s="15"/>
      <c r="C29" s="15"/>
      <c r="D29" s="15"/>
      <c r="E29" s="15"/>
      <c r="F29" s="15"/>
      <c r="G29" s="16"/>
      <c r="H29" s="16"/>
      <c r="I29" s="15"/>
      <c r="J29" s="15"/>
      <c r="K29" s="15"/>
      <c r="L29" s="15"/>
      <c r="M29" s="14"/>
      <c r="N29" s="17" t="str">
        <f aca="true">IF(OR(A29="",K29="Ganho",K29="Perdido"),"",TODAY()-IF(M29="",A29,MIN(M29,TODAY())))</f>
        <v/>
      </c>
      <c r="O29" s="15"/>
    </row>
    <row r="30" customFormat="false" ht="15" hidden="false" customHeight="false" outlineLevel="0" collapsed="false">
      <c r="A30" s="14"/>
      <c r="B30" s="15"/>
      <c r="C30" s="15"/>
      <c r="D30" s="15"/>
      <c r="E30" s="15"/>
      <c r="F30" s="15"/>
      <c r="G30" s="16"/>
      <c r="H30" s="16"/>
      <c r="I30" s="15"/>
      <c r="J30" s="15"/>
      <c r="K30" s="15"/>
      <c r="L30" s="15"/>
      <c r="M30" s="14"/>
      <c r="N30" s="17" t="str">
        <f aca="true">IF(OR(A30="",K30="Ganho",K30="Perdido"),"",TODAY()-IF(M30="",A30,MIN(M30,TODAY())))</f>
        <v/>
      </c>
      <c r="O30" s="15"/>
    </row>
    <row r="31" customFormat="false" ht="15" hidden="false" customHeight="false" outlineLevel="0" collapsed="false">
      <c r="A31" s="14"/>
      <c r="B31" s="15"/>
      <c r="C31" s="15"/>
      <c r="D31" s="15"/>
      <c r="E31" s="15"/>
      <c r="F31" s="15"/>
      <c r="G31" s="16"/>
      <c r="H31" s="16"/>
      <c r="I31" s="15"/>
      <c r="J31" s="15"/>
      <c r="K31" s="15"/>
      <c r="L31" s="15"/>
      <c r="M31" s="14"/>
      <c r="N31" s="17" t="str">
        <f aca="true">IF(OR(A31="",K31="Ganho",K31="Perdido"),"",TODAY()-IF(M31="",A31,MIN(M31,TODAY())))</f>
        <v/>
      </c>
      <c r="O31" s="15"/>
    </row>
    <row r="32" customFormat="false" ht="15" hidden="false" customHeight="false" outlineLevel="0" collapsed="false">
      <c r="A32" s="14"/>
      <c r="B32" s="15"/>
      <c r="C32" s="15"/>
      <c r="D32" s="15"/>
      <c r="E32" s="15"/>
      <c r="F32" s="15"/>
      <c r="G32" s="16"/>
      <c r="H32" s="16"/>
      <c r="I32" s="15"/>
      <c r="J32" s="15"/>
      <c r="K32" s="15"/>
      <c r="L32" s="15"/>
      <c r="M32" s="14"/>
      <c r="N32" s="17" t="str">
        <f aca="true">IF(OR(A32="",K32="Ganho",K32="Perdido"),"",TODAY()-IF(M32="",A32,MIN(M32,TODAY())))</f>
        <v/>
      </c>
      <c r="O32" s="15"/>
    </row>
    <row r="33" customFormat="false" ht="15" hidden="false" customHeight="false" outlineLevel="0" collapsed="false">
      <c r="A33" s="14"/>
      <c r="B33" s="15"/>
      <c r="C33" s="15"/>
      <c r="D33" s="15"/>
      <c r="E33" s="15"/>
      <c r="F33" s="15"/>
      <c r="G33" s="16"/>
      <c r="H33" s="16"/>
      <c r="I33" s="15"/>
      <c r="J33" s="15"/>
      <c r="K33" s="15"/>
      <c r="L33" s="15"/>
      <c r="M33" s="14"/>
      <c r="N33" s="17" t="str">
        <f aca="true">IF(OR(A33="",K33="Ganho",K33="Perdido"),"",TODAY()-IF(M33="",A33,MIN(M33,TODAY())))</f>
        <v/>
      </c>
      <c r="O33" s="15"/>
    </row>
    <row r="34" customFormat="false" ht="15" hidden="false" customHeight="false" outlineLevel="0" collapsed="false">
      <c r="A34" s="14"/>
      <c r="B34" s="15"/>
      <c r="C34" s="15"/>
      <c r="D34" s="15"/>
      <c r="E34" s="15"/>
      <c r="F34" s="15"/>
      <c r="G34" s="16"/>
      <c r="H34" s="16"/>
      <c r="I34" s="15"/>
      <c r="J34" s="15"/>
      <c r="K34" s="15"/>
      <c r="L34" s="15"/>
      <c r="M34" s="14"/>
      <c r="N34" s="17" t="str">
        <f aca="true">IF(OR(A34="",K34="Ganho",K34="Perdido"),"",TODAY()-IF(M34="",A34,MIN(M34,TODAY())))</f>
        <v/>
      </c>
      <c r="O34" s="15"/>
    </row>
    <row r="35" customFormat="false" ht="15" hidden="false" customHeight="false" outlineLevel="0" collapsed="false">
      <c r="A35" s="14"/>
      <c r="B35" s="15"/>
      <c r="C35" s="15"/>
      <c r="D35" s="15"/>
      <c r="E35" s="15"/>
      <c r="F35" s="15"/>
      <c r="G35" s="16"/>
      <c r="H35" s="16"/>
      <c r="I35" s="15"/>
      <c r="J35" s="15"/>
      <c r="K35" s="15"/>
      <c r="L35" s="15"/>
      <c r="M35" s="14"/>
      <c r="N35" s="17" t="str">
        <f aca="true">IF(OR(A35="",K35="Ganho",K35="Perdido"),"",TODAY()-IF(M35="",A35,MIN(M35,TODAY())))</f>
        <v/>
      </c>
      <c r="O35" s="15"/>
    </row>
    <row r="36" customFormat="false" ht="15" hidden="false" customHeight="false" outlineLevel="0" collapsed="false">
      <c r="A36" s="14"/>
      <c r="B36" s="15"/>
      <c r="C36" s="15"/>
      <c r="D36" s="15"/>
      <c r="E36" s="15"/>
      <c r="F36" s="15"/>
      <c r="G36" s="16"/>
      <c r="H36" s="16"/>
      <c r="I36" s="15"/>
      <c r="J36" s="15"/>
      <c r="K36" s="15"/>
      <c r="L36" s="15"/>
      <c r="M36" s="14"/>
      <c r="N36" s="17" t="str">
        <f aca="true">IF(OR(A36="",K36="Ganho",K36="Perdido"),"",TODAY()-IF(M36="",A36,MIN(M36,TODAY())))</f>
        <v/>
      </c>
      <c r="O36" s="15"/>
    </row>
    <row r="37" customFormat="false" ht="15" hidden="false" customHeight="false" outlineLevel="0" collapsed="false">
      <c r="A37" s="14"/>
      <c r="B37" s="15"/>
      <c r="C37" s="15"/>
      <c r="D37" s="15"/>
      <c r="E37" s="15"/>
      <c r="F37" s="15"/>
      <c r="G37" s="16"/>
      <c r="H37" s="16"/>
      <c r="I37" s="15"/>
      <c r="J37" s="15"/>
      <c r="K37" s="15"/>
      <c r="L37" s="15"/>
      <c r="M37" s="14"/>
      <c r="N37" s="17" t="str">
        <f aca="true">IF(OR(A37="",K37="Ganho",K37="Perdido"),"",TODAY()-IF(M37="",A37,MIN(M37,TODAY())))</f>
        <v/>
      </c>
      <c r="O37" s="15"/>
    </row>
    <row r="38" customFormat="false" ht="15" hidden="false" customHeight="false" outlineLevel="0" collapsed="false">
      <c r="A38" s="14"/>
      <c r="B38" s="15"/>
      <c r="C38" s="15"/>
      <c r="D38" s="15"/>
      <c r="E38" s="15"/>
      <c r="F38" s="15"/>
      <c r="G38" s="16"/>
      <c r="H38" s="16"/>
      <c r="I38" s="15"/>
      <c r="J38" s="15"/>
      <c r="K38" s="15"/>
      <c r="L38" s="15"/>
      <c r="M38" s="14"/>
      <c r="N38" s="17" t="str">
        <f aca="true">IF(OR(A38="",K38="Ganho",K38="Perdido"),"",TODAY()-IF(M38="",A38,MIN(M38,TODAY())))</f>
        <v/>
      </c>
      <c r="O38" s="15"/>
    </row>
    <row r="39" customFormat="false" ht="15" hidden="false" customHeight="false" outlineLevel="0" collapsed="false">
      <c r="A39" s="14"/>
      <c r="B39" s="15"/>
      <c r="C39" s="15"/>
      <c r="D39" s="15"/>
      <c r="E39" s="15"/>
      <c r="F39" s="15"/>
      <c r="G39" s="16"/>
      <c r="H39" s="16"/>
      <c r="I39" s="15"/>
      <c r="J39" s="15"/>
      <c r="K39" s="15"/>
      <c r="L39" s="15"/>
      <c r="M39" s="14"/>
      <c r="N39" s="17" t="str">
        <f aca="true">IF(OR(A39="",K39="Ganho",K39="Perdido"),"",TODAY()-IF(M39="",A39,MIN(M39,TODAY())))</f>
        <v/>
      </c>
      <c r="O39" s="15"/>
    </row>
    <row r="40" customFormat="false" ht="15" hidden="false" customHeight="false" outlineLevel="0" collapsed="false">
      <c r="A40" s="14"/>
      <c r="B40" s="15"/>
      <c r="C40" s="15"/>
      <c r="D40" s="15"/>
      <c r="E40" s="15"/>
      <c r="F40" s="15"/>
      <c r="G40" s="16"/>
      <c r="H40" s="16"/>
      <c r="I40" s="15"/>
      <c r="J40" s="15"/>
      <c r="K40" s="15"/>
      <c r="L40" s="15"/>
      <c r="M40" s="14"/>
      <c r="N40" s="17" t="str">
        <f aca="true">IF(OR(A40="",K40="Ganho",K40="Perdido"),"",TODAY()-IF(M40="",A40,MIN(M40,TODAY())))</f>
        <v/>
      </c>
      <c r="O40" s="15"/>
    </row>
    <row r="41" customFormat="false" ht="15" hidden="false" customHeight="false" outlineLevel="0" collapsed="false">
      <c r="A41" s="14"/>
      <c r="B41" s="15"/>
      <c r="C41" s="15"/>
      <c r="D41" s="15"/>
      <c r="E41" s="15"/>
      <c r="F41" s="15"/>
      <c r="G41" s="16"/>
      <c r="H41" s="16"/>
      <c r="I41" s="15"/>
      <c r="J41" s="15"/>
      <c r="K41" s="15"/>
      <c r="L41" s="15"/>
      <c r="M41" s="14"/>
      <c r="N41" s="17" t="str">
        <f aca="true">IF(OR(A41="",K41="Ganho",K41="Perdido"),"",TODAY()-IF(M41="",A41,MIN(M41,TODAY())))</f>
        <v/>
      </c>
      <c r="O41" s="15"/>
    </row>
    <row r="42" customFormat="false" ht="15" hidden="false" customHeight="false" outlineLevel="0" collapsed="false">
      <c r="A42" s="14"/>
      <c r="B42" s="15"/>
      <c r="C42" s="15"/>
      <c r="D42" s="15"/>
      <c r="E42" s="15"/>
      <c r="F42" s="15"/>
      <c r="G42" s="16"/>
      <c r="H42" s="16"/>
      <c r="I42" s="15"/>
      <c r="J42" s="15"/>
      <c r="K42" s="15"/>
      <c r="L42" s="15"/>
      <c r="M42" s="14"/>
      <c r="N42" s="17" t="str">
        <f aca="true">IF(OR(A42="",K42="Ganho",K42="Perdido"),"",TODAY()-IF(M42="",A42,MIN(M42,TODAY())))</f>
        <v/>
      </c>
      <c r="O42" s="15"/>
    </row>
    <row r="43" customFormat="false" ht="15" hidden="false" customHeight="false" outlineLevel="0" collapsed="false">
      <c r="A43" s="14"/>
      <c r="B43" s="15"/>
      <c r="C43" s="15"/>
      <c r="D43" s="15"/>
      <c r="E43" s="15"/>
      <c r="F43" s="15"/>
      <c r="G43" s="16"/>
      <c r="H43" s="16"/>
      <c r="I43" s="15"/>
      <c r="J43" s="15"/>
      <c r="K43" s="15"/>
      <c r="L43" s="15"/>
      <c r="M43" s="14"/>
      <c r="N43" s="17" t="str">
        <f aca="true">IF(OR(A43="",K43="Ganho",K43="Perdido"),"",TODAY()-IF(M43="",A43,MIN(M43,TODAY())))</f>
        <v/>
      </c>
      <c r="O43" s="15"/>
    </row>
    <row r="44" customFormat="false" ht="15" hidden="false" customHeight="false" outlineLevel="0" collapsed="false">
      <c r="A44" s="14"/>
      <c r="B44" s="15"/>
      <c r="C44" s="15"/>
      <c r="D44" s="15"/>
      <c r="E44" s="15"/>
      <c r="F44" s="15"/>
      <c r="G44" s="16"/>
      <c r="H44" s="16"/>
      <c r="I44" s="15"/>
      <c r="J44" s="15"/>
      <c r="K44" s="15"/>
      <c r="L44" s="15"/>
      <c r="M44" s="14"/>
      <c r="N44" s="17" t="str">
        <f aca="true">IF(OR(A44="",K44="Ganho",K44="Perdido"),"",TODAY()-IF(M44="",A44,MIN(M44,TODAY())))</f>
        <v/>
      </c>
      <c r="O44" s="15"/>
    </row>
    <row r="45" customFormat="false" ht="15" hidden="false" customHeight="false" outlineLevel="0" collapsed="false">
      <c r="A45" s="14"/>
      <c r="B45" s="15"/>
      <c r="C45" s="15"/>
      <c r="D45" s="15"/>
      <c r="E45" s="15"/>
      <c r="F45" s="15"/>
      <c r="G45" s="16"/>
      <c r="H45" s="16"/>
      <c r="I45" s="15"/>
      <c r="J45" s="15"/>
      <c r="K45" s="15"/>
      <c r="L45" s="15"/>
      <c r="M45" s="14"/>
      <c r="N45" s="17" t="str">
        <f aca="true">IF(OR(A45="",K45="Ganho",K45="Perdido"),"",TODAY()-IF(M45="",A45,MIN(M45,TODAY())))</f>
        <v/>
      </c>
      <c r="O45" s="15"/>
    </row>
    <row r="46" customFormat="false" ht="15" hidden="false" customHeight="false" outlineLevel="0" collapsed="false">
      <c r="A46" s="14"/>
      <c r="B46" s="15"/>
      <c r="C46" s="15"/>
      <c r="D46" s="15"/>
      <c r="E46" s="15"/>
      <c r="F46" s="15"/>
      <c r="G46" s="16"/>
      <c r="H46" s="16"/>
      <c r="I46" s="15"/>
      <c r="J46" s="15"/>
      <c r="K46" s="15"/>
      <c r="L46" s="15"/>
      <c r="M46" s="14"/>
      <c r="N46" s="17" t="str">
        <f aca="true">IF(OR(A46="",K46="Ganho",K46="Perdido"),"",TODAY()-IF(M46="",A46,MIN(M46,TODAY())))</f>
        <v/>
      </c>
      <c r="O46" s="15"/>
    </row>
    <row r="47" customFormat="false" ht="15" hidden="false" customHeight="false" outlineLevel="0" collapsed="false">
      <c r="A47" s="14"/>
      <c r="B47" s="15"/>
      <c r="C47" s="15"/>
      <c r="D47" s="15"/>
      <c r="E47" s="15"/>
      <c r="F47" s="15"/>
      <c r="G47" s="16"/>
      <c r="H47" s="16"/>
      <c r="I47" s="15"/>
      <c r="J47" s="15"/>
      <c r="K47" s="15"/>
      <c r="L47" s="15"/>
      <c r="M47" s="14"/>
      <c r="N47" s="17" t="str">
        <f aca="true">IF(OR(A47="",K47="Ganho",K47="Perdido"),"",TODAY()-IF(M47="",A47,MIN(M47,TODAY())))</f>
        <v/>
      </c>
      <c r="O47" s="15"/>
    </row>
    <row r="48" customFormat="false" ht="15" hidden="false" customHeight="false" outlineLevel="0" collapsed="false">
      <c r="A48" s="14"/>
      <c r="B48" s="15"/>
      <c r="C48" s="15"/>
      <c r="D48" s="15"/>
      <c r="E48" s="15"/>
      <c r="F48" s="15"/>
      <c r="G48" s="16"/>
      <c r="H48" s="16"/>
      <c r="I48" s="15"/>
      <c r="J48" s="15"/>
      <c r="K48" s="15"/>
      <c r="L48" s="15"/>
      <c r="M48" s="14"/>
      <c r="N48" s="17" t="str">
        <f aca="true">IF(OR(A48="",K48="Ganho",K48="Perdido"),"",TODAY()-IF(M48="",A48,MIN(M48,TODAY())))</f>
        <v/>
      </c>
      <c r="O48" s="15"/>
    </row>
    <row r="49" customFormat="false" ht="15" hidden="false" customHeight="false" outlineLevel="0" collapsed="false">
      <c r="A49" s="14"/>
      <c r="B49" s="15"/>
      <c r="C49" s="15"/>
      <c r="D49" s="15"/>
      <c r="E49" s="15"/>
      <c r="F49" s="15"/>
      <c r="G49" s="16"/>
      <c r="H49" s="16"/>
      <c r="I49" s="15"/>
      <c r="J49" s="15"/>
      <c r="K49" s="15"/>
      <c r="L49" s="15"/>
      <c r="M49" s="14"/>
      <c r="N49" s="17" t="str">
        <f aca="true">IF(OR(A49="",K49="Ganho",K49="Perdido"),"",TODAY()-IF(M49="",A49,MIN(M49,TODAY())))</f>
        <v/>
      </c>
      <c r="O49" s="15"/>
    </row>
    <row r="50" customFormat="false" ht="15" hidden="false" customHeight="false" outlineLevel="0" collapsed="false">
      <c r="A50" s="14"/>
      <c r="B50" s="15"/>
      <c r="C50" s="15"/>
      <c r="D50" s="15"/>
      <c r="E50" s="15"/>
      <c r="F50" s="15"/>
      <c r="G50" s="16"/>
      <c r="H50" s="16"/>
      <c r="I50" s="15"/>
      <c r="J50" s="15"/>
      <c r="K50" s="15"/>
      <c r="L50" s="15"/>
      <c r="M50" s="14"/>
      <c r="N50" s="17" t="str">
        <f aca="true">IF(OR(A50="",K50="Ganho",K50="Perdido"),"",TODAY()-IF(M50="",A50,MIN(M50,TODAY())))</f>
        <v/>
      </c>
      <c r="O50" s="15"/>
    </row>
    <row r="51" customFormat="false" ht="15" hidden="false" customHeight="false" outlineLevel="0" collapsed="false">
      <c r="A51" s="14"/>
      <c r="B51" s="15"/>
      <c r="C51" s="15"/>
      <c r="D51" s="15"/>
      <c r="E51" s="15"/>
      <c r="F51" s="15"/>
      <c r="G51" s="16"/>
      <c r="H51" s="16"/>
      <c r="I51" s="15"/>
      <c r="J51" s="15"/>
      <c r="K51" s="15"/>
      <c r="L51" s="15"/>
      <c r="M51" s="14"/>
      <c r="N51" s="17" t="str">
        <f aca="true">IF(OR(A51="",K51="Ganho",K51="Perdido"),"",TODAY()-IF(M51="",A51,MIN(M51,TODAY())))</f>
        <v/>
      </c>
      <c r="O51" s="15"/>
    </row>
    <row r="52" customFormat="false" ht="15" hidden="false" customHeight="false" outlineLevel="0" collapsed="false">
      <c r="A52" s="14"/>
      <c r="B52" s="15"/>
      <c r="C52" s="15"/>
      <c r="D52" s="15"/>
      <c r="E52" s="15"/>
      <c r="F52" s="15"/>
      <c r="G52" s="16"/>
      <c r="H52" s="16"/>
      <c r="I52" s="15"/>
      <c r="J52" s="15"/>
      <c r="K52" s="15"/>
      <c r="L52" s="15"/>
      <c r="M52" s="14"/>
      <c r="N52" s="17" t="str">
        <f aca="true">IF(OR(A52="",K52="Ganho",K52="Perdido"),"",TODAY()-IF(M52="",A52,MIN(M52,TODAY())))</f>
        <v/>
      </c>
      <c r="O52" s="15"/>
    </row>
    <row r="53" customFormat="false" ht="15" hidden="false" customHeight="false" outlineLevel="0" collapsed="false">
      <c r="A53" s="14"/>
      <c r="B53" s="15"/>
      <c r="C53" s="15"/>
      <c r="D53" s="15"/>
      <c r="E53" s="15"/>
      <c r="F53" s="15"/>
      <c r="G53" s="16"/>
      <c r="H53" s="16"/>
      <c r="I53" s="15"/>
      <c r="J53" s="15"/>
      <c r="K53" s="15"/>
      <c r="L53" s="15"/>
      <c r="M53" s="14"/>
      <c r="N53" s="17" t="str">
        <f aca="true">IF(OR(A53="",K53="Ganho",K53="Perdido"),"",TODAY()-IF(M53="",A53,MIN(M53,TODAY())))</f>
        <v/>
      </c>
      <c r="O53" s="15"/>
    </row>
    <row r="54" customFormat="false" ht="15" hidden="false" customHeight="false" outlineLevel="0" collapsed="false">
      <c r="A54" s="14"/>
      <c r="B54" s="15"/>
      <c r="C54" s="15"/>
      <c r="D54" s="15"/>
      <c r="E54" s="15"/>
      <c r="F54" s="15"/>
      <c r="G54" s="16"/>
      <c r="H54" s="16"/>
      <c r="I54" s="15"/>
      <c r="J54" s="15"/>
      <c r="K54" s="15"/>
      <c r="L54" s="15"/>
      <c r="M54" s="14"/>
      <c r="N54" s="17" t="str">
        <f aca="true">IF(OR(A54="",K54="Ganho",K54="Perdido"),"",TODAY()-IF(M54="",A54,MIN(M54,TODAY())))</f>
        <v/>
      </c>
      <c r="O54" s="15"/>
    </row>
    <row r="55" customFormat="false" ht="15" hidden="false" customHeight="false" outlineLevel="0" collapsed="false">
      <c r="A55" s="14"/>
      <c r="B55" s="15"/>
      <c r="C55" s="15"/>
      <c r="D55" s="15"/>
      <c r="E55" s="15"/>
      <c r="F55" s="15"/>
      <c r="G55" s="16"/>
      <c r="H55" s="16"/>
      <c r="I55" s="15"/>
      <c r="J55" s="15"/>
      <c r="K55" s="15"/>
      <c r="L55" s="15"/>
      <c r="M55" s="14"/>
      <c r="N55" s="17" t="str">
        <f aca="true">IF(OR(A55="",K55="Ganho",K55="Perdido"),"",TODAY()-IF(M55="",A55,MIN(M55,TODAY())))</f>
        <v/>
      </c>
      <c r="O55" s="15"/>
    </row>
    <row r="56" customFormat="false" ht="15" hidden="false" customHeight="false" outlineLevel="0" collapsed="false">
      <c r="A56" s="14"/>
      <c r="B56" s="15"/>
      <c r="C56" s="15"/>
      <c r="D56" s="15"/>
      <c r="E56" s="15"/>
      <c r="F56" s="15"/>
      <c r="G56" s="16"/>
      <c r="H56" s="16"/>
      <c r="I56" s="15"/>
      <c r="J56" s="15"/>
      <c r="K56" s="15"/>
      <c r="L56" s="15"/>
      <c r="M56" s="14"/>
      <c r="N56" s="17" t="str">
        <f aca="true">IF(OR(A56="",K56="Ganho",K56="Perdido"),"",TODAY()-IF(M56="",A56,MIN(M56,TODAY())))</f>
        <v/>
      </c>
      <c r="O56" s="15"/>
    </row>
    <row r="57" customFormat="false" ht="15" hidden="false" customHeight="false" outlineLevel="0" collapsed="false">
      <c r="A57" s="14"/>
      <c r="B57" s="15"/>
      <c r="C57" s="15"/>
      <c r="D57" s="15"/>
      <c r="E57" s="15"/>
      <c r="F57" s="15"/>
      <c r="G57" s="16"/>
      <c r="H57" s="16"/>
      <c r="I57" s="15"/>
      <c r="J57" s="15"/>
      <c r="K57" s="15"/>
      <c r="L57" s="15"/>
      <c r="M57" s="14"/>
      <c r="N57" s="17" t="str">
        <f aca="true">IF(OR(A57="",K57="Ganho",K57="Perdido"),"",TODAY()-IF(M57="",A57,MIN(M57,TODAY())))</f>
        <v/>
      </c>
      <c r="O57" s="15"/>
    </row>
    <row r="58" customFormat="false" ht="15" hidden="false" customHeight="false" outlineLevel="0" collapsed="false">
      <c r="A58" s="14"/>
      <c r="B58" s="15"/>
      <c r="C58" s="15"/>
      <c r="D58" s="15"/>
      <c r="E58" s="15"/>
      <c r="F58" s="15"/>
      <c r="G58" s="16"/>
      <c r="H58" s="16"/>
      <c r="I58" s="15"/>
      <c r="J58" s="15"/>
      <c r="K58" s="15"/>
      <c r="L58" s="15"/>
      <c r="M58" s="14"/>
      <c r="N58" s="17" t="str">
        <f aca="true">IF(OR(A58="",K58="Ganho",K58="Perdido"),"",TODAY()-IF(M58="",A58,MIN(M58,TODAY())))</f>
        <v/>
      </c>
      <c r="O58" s="15"/>
    </row>
    <row r="59" customFormat="false" ht="15" hidden="false" customHeight="false" outlineLevel="0" collapsed="false">
      <c r="A59" s="14"/>
      <c r="B59" s="15"/>
      <c r="C59" s="15"/>
      <c r="D59" s="15"/>
      <c r="E59" s="15"/>
      <c r="F59" s="15"/>
      <c r="G59" s="16"/>
      <c r="H59" s="16"/>
      <c r="I59" s="15"/>
      <c r="J59" s="15"/>
      <c r="K59" s="15"/>
      <c r="L59" s="15"/>
      <c r="M59" s="14"/>
      <c r="N59" s="17" t="str">
        <f aca="true">IF(OR(A59="",K59="Ganho",K59="Perdido"),"",TODAY()-IF(M59="",A59,MIN(M59,TODAY())))</f>
        <v/>
      </c>
      <c r="O59" s="15"/>
    </row>
    <row r="60" customFormat="false" ht="15" hidden="false" customHeight="false" outlineLevel="0" collapsed="false">
      <c r="A60" s="14"/>
      <c r="B60" s="15"/>
      <c r="C60" s="15"/>
      <c r="D60" s="15"/>
      <c r="E60" s="15"/>
      <c r="F60" s="15"/>
      <c r="G60" s="16"/>
      <c r="H60" s="16"/>
      <c r="I60" s="15"/>
      <c r="J60" s="15"/>
      <c r="K60" s="15"/>
      <c r="L60" s="15"/>
      <c r="M60" s="14"/>
      <c r="N60" s="17" t="str">
        <f aca="true">IF(OR(A60="",K60="Ganho",K60="Perdido"),"",TODAY()-IF(M60="",A60,MIN(M60,TODAY())))</f>
        <v/>
      </c>
      <c r="O60" s="15"/>
    </row>
    <row r="61" customFormat="false" ht="15" hidden="false" customHeight="false" outlineLevel="0" collapsed="false">
      <c r="A61" s="14"/>
      <c r="B61" s="15"/>
      <c r="C61" s="15"/>
      <c r="D61" s="15"/>
      <c r="E61" s="15"/>
      <c r="F61" s="15"/>
      <c r="G61" s="16"/>
      <c r="H61" s="16"/>
      <c r="I61" s="15"/>
      <c r="J61" s="15"/>
      <c r="K61" s="15"/>
      <c r="L61" s="15"/>
      <c r="M61" s="14"/>
      <c r="N61" s="17" t="str">
        <f aca="true">IF(OR(A61="",K61="Ganho",K61="Perdido"),"",TODAY()-IF(M61="",A61,MIN(M61,TODAY())))</f>
        <v/>
      </c>
      <c r="O61" s="15"/>
    </row>
    <row r="62" customFormat="false" ht="15" hidden="false" customHeight="false" outlineLevel="0" collapsed="false">
      <c r="A62" s="14"/>
      <c r="B62" s="15"/>
      <c r="C62" s="15"/>
      <c r="D62" s="15"/>
      <c r="E62" s="15"/>
      <c r="F62" s="15"/>
      <c r="G62" s="16"/>
      <c r="H62" s="16"/>
      <c r="I62" s="15"/>
      <c r="J62" s="15"/>
      <c r="K62" s="15"/>
      <c r="L62" s="15"/>
      <c r="M62" s="14"/>
      <c r="N62" s="17" t="str">
        <f aca="true">IF(OR(A62="",K62="Ganho",K62="Perdido"),"",TODAY()-IF(M62="",A62,MIN(M62,TODAY())))</f>
        <v/>
      </c>
      <c r="O62" s="15"/>
    </row>
    <row r="63" customFormat="false" ht="15" hidden="false" customHeight="false" outlineLevel="0" collapsed="false">
      <c r="A63" s="14"/>
      <c r="B63" s="15"/>
      <c r="C63" s="15"/>
      <c r="D63" s="15"/>
      <c r="E63" s="15"/>
      <c r="F63" s="15"/>
      <c r="G63" s="16"/>
      <c r="H63" s="16"/>
      <c r="I63" s="15"/>
      <c r="J63" s="15"/>
      <c r="K63" s="15"/>
      <c r="L63" s="15"/>
      <c r="M63" s="14"/>
      <c r="N63" s="17" t="str">
        <f aca="true">IF(OR(A63="",K63="Ganho",K63="Perdido"),"",TODAY()-IF(M63="",A63,MIN(M63,TODAY())))</f>
        <v/>
      </c>
      <c r="O63" s="15"/>
    </row>
    <row r="64" customFormat="false" ht="15" hidden="false" customHeight="false" outlineLevel="0" collapsed="false">
      <c r="A64" s="14"/>
      <c r="B64" s="15"/>
      <c r="C64" s="15"/>
      <c r="D64" s="15"/>
      <c r="E64" s="15"/>
      <c r="F64" s="15"/>
      <c r="G64" s="16"/>
      <c r="H64" s="16"/>
      <c r="I64" s="15"/>
      <c r="J64" s="15"/>
      <c r="K64" s="15"/>
      <c r="L64" s="15"/>
      <c r="M64" s="14"/>
      <c r="N64" s="17" t="str">
        <f aca="true">IF(OR(A64="",K64="Ganho",K64="Perdido"),"",TODAY()-IF(M64="",A64,MIN(M64,TODAY())))</f>
        <v/>
      </c>
      <c r="O64" s="15"/>
    </row>
    <row r="65" customFormat="false" ht="15" hidden="false" customHeight="false" outlineLevel="0" collapsed="false">
      <c r="A65" s="14"/>
      <c r="B65" s="15"/>
      <c r="C65" s="15"/>
      <c r="D65" s="15"/>
      <c r="E65" s="15"/>
      <c r="F65" s="15"/>
      <c r="G65" s="16"/>
      <c r="H65" s="16"/>
      <c r="I65" s="15"/>
      <c r="J65" s="15"/>
      <c r="K65" s="15"/>
      <c r="L65" s="15"/>
      <c r="M65" s="14"/>
      <c r="N65" s="17" t="str">
        <f aca="true">IF(OR(A65="",K65="Ganho",K65="Perdido"),"",TODAY()-IF(M65="",A65,MIN(M65,TODAY())))</f>
        <v/>
      </c>
      <c r="O65" s="15"/>
    </row>
    <row r="66" customFormat="false" ht="15" hidden="false" customHeight="false" outlineLevel="0" collapsed="false">
      <c r="A66" s="14"/>
      <c r="B66" s="15"/>
      <c r="C66" s="15"/>
      <c r="D66" s="15"/>
      <c r="E66" s="15"/>
      <c r="F66" s="15"/>
      <c r="G66" s="16"/>
      <c r="H66" s="16"/>
      <c r="I66" s="15"/>
      <c r="J66" s="15"/>
      <c r="K66" s="15"/>
      <c r="L66" s="15"/>
      <c r="M66" s="14"/>
      <c r="N66" s="17" t="str">
        <f aca="true">IF(OR(A66="",K66="Ganho",K66="Perdido"),"",TODAY()-IF(M66="",A66,MIN(M66,TODAY())))</f>
        <v/>
      </c>
      <c r="O66" s="15"/>
    </row>
    <row r="67" customFormat="false" ht="15" hidden="false" customHeight="false" outlineLevel="0" collapsed="false">
      <c r="A67" s="14"/>
      <c r="B67" s="15"/>
      <c r="C67" s="15"/>
      <c r="D67" s="15"/>
      <c r="E67" s="15"/>
      <c r="F67" s="15"/>
      <c r="G67" s="16"/>
      <c r="H67" s="16"/>
      <c r="I67" s="15"/>
      <c r="J67" s="15"/>
      <c r="K67" s="15"/>
      <c r="L67" s="15"/>
      <c r="M67" s="14"/>
      <c r="N67" s="17" t="str">
        <f aca="true">IF(OR(A67="",K67="Ganho",K67="Perdido"),"",TODAY()-IF(M67="",A67,MIN(M67,TODAY())))</f>
        <v/>
      </c>
      <c r="O67" s="15"/>
    </row>
    <row r="68" customFormat="false" ht="15" hidden="false" customHeight="false" outlineLevel="0" collapsed="false">
      <c r="A68" s="14"/>
      <c r="B68" s="15"/>
      <c r="C68" s="15"/>
      <c r="D68" s="15"/>
      <c r="E68" s="15"/>
      <c r="F68" s="15"/>
      <c r="G68" s="16"/>
      <c r="H68" s="16"/>
      <c r="I68" s="15"/>
      <c r="J68" s="15"/>
      <c r="K68" s="15"/>
      <c r="L68" s="15"/>
      <c r="M68" s="14"/>
      <c r="N68" s="17" t="str">
        <f aca="true">IF(OR(A68="",K68="Ganho",K68="Perdido"),"",TODAY()-IF(M68="",A68,MIN(M68,TODAY())))</f>
        <v/>
      </c>
      <c r="O68" s="15"/>
    </row>
    <row r="69" customFormat="false" ht="15" hidden="false" customHeight="false" outlineLevel="0" collapsed="false">
      <c r="A69" s="14"/>
      <c r="B69" s="15"/>
      <c r="C69" s="15"/>
      <c r="D69" s="15"/>
      <c r="E69" s="15"/>
      <c r="F69" s="15"/>
      <c r="G69" s="16"/>
      <c r="H69" s="16"/>
      <c r="I69" s="15"/>
      <c r="J69" s="15"/>
      <c r="K69" s="15"/>
      <c r="L69" s="15"/>
      <c r="M69" s="14"/>
      <c r="N69" s="17" t="str">
        <f aca="true">IF(OR(A69="",K69="Ganho",K69="Perdido"),"",TODAY()-IF(M69="",A69,MIN(M69,TODAY())))</f>
        <v/>
      </c>
      <c r="O69" s="15"/>
    </row>
    <row r="70" customFormat="false" ht="15" hidden="false" customHeight="false" outlineLevel="0" collapsed="false">
      <c r="A70" s="14"/>
      <c r="B70" s="15"/>
      <c r="C70" s="15"/>
      <c r="D70" s="15"/>
      <c r="E70" s="15"/>
      <c r="F70" s="15"/>
      <c r="G70" s="16"/>
      <c r="H70" s="16"/>
      <c r="I70" s="15"/>
      <c r="J70" s="15"/>
      <c r="K70" s="15"/>
      <c r="L70" s="15"/>
      <c r="M70" s="14"/>
      <c r="N70" s="17" t="str">
        <f aca="true">IF(OR(A70="",K70="Ganho",K70="Perdido"),"",TODAY()-IF(M70="",A70,MIN(M70,TODAY())))</f>
        <v/>
      </c>
      <c r="O70" s="15"/>
    </row>
    <row r="71" customFormat="false" ht="15" hidden="false" customHeight="false" outlineLevel="0" collapsed="false">
      <c r="A71" s="14"/>
      <c r="B71" s="15"/>
      <c r="C71" s="15"/>
      <c r="D71" s="15"/>
      <c r="E71" s="15"/>
      <c r="F71" s="15"/>
      <c r="G71" s="16"/>
      <c r="H71" s="16"/>
      <c r="I71" s="15"/>
      <c r="J71" s="15"/>
      <c r="K71" s="15"/>
      <c r="L71" s="15"/>
      <c r="M71" s="14"/>
      <c r="N71" s="17" t="str">
        <f aca="true">IF(OR(A71="",K71="Ganho",K71="Perdido"),"",TODAY()-IF(M71="",A71,MIN(M71,TODAY())))</f>
        <v/>
      </c>
      <c r="O71" s="15"/>
    </row>
    <row r="72" customFormat="false" ht="15" hidden="false" customHeight="false" outlineLevel="0" collapsed="false">
      <c r="A72" s="14"/>
      <c r="B72" s="15"/>
      <c r="C72" s="15"/>
      <c r="D72" s="15"/>
      <c r="E72" s="15"/>
      <c r="F72" s="15"/>
      <c r="G72" s="16"/>
      <c r="H72" s="16"/>
      <c r="I72" s="15"/>
      <c r="J72" s="15"/>
      <c r="K72" s="15"/>
      <c r="L72" s="15"/>
      <c r="M72" s="14"/>
      <c r="N72" s="17" t="str">
        <f aca="true">IF(OR(A72="",K72="Ganho",K72="Perdido"),"",TODAY()-IF(M72="",A72,MIN(M72,TODAY())))</f>
        <v/>
      </c>
      <c r="O72" s="15"/>
    </row>
    <row r="73" customFormat="false" ht="15" hidden="false" customHeight="false" outlineLevel="0" collapsed="false">
      <c r="A73" s="14"/>
      <c r="B73" s="15"/>
      <c r="C73" s="15"/>
      <c r="D73" s="15"/>
      <c r="E73" s="15"/>
      <c r="F73" s="15"/>
      <c r="G73" s="16"/>
      <c r="H73" s="16"/>
      <c r="I73" s="15"/>
      <c r="J73" s="15"/>
      <c r="K73" s="15"/>
      <c r="L73" s="15"/>
      <c r="M73" s="14"/>
      <c r="N73" s="17" t="str">
        <f aca="true">IF(OR(A73="",K73="Ganho",K73="Perdido"),"",TODAY()-IF(M73="",A73,MIN(M73,TODAY())))</f>
        <v/>
      </c>
      <c r="O73" s="15"/>
    </row>
    <row r="74" customFormat="false" ht="15" hidden="false" customHeight="false" outlineLevel="0" collapsed="false">
      <c r="A74" s="14"/>
      <c r="B74" s="15"/>
      <c r="C74" s="15"/>
      <c r="D74" s="15"/>
      <c r="E74" s="15"/>
      <c r="F74" s="15"/>
      <c r="G74" s="16"/>
      <c r="H74" s="16"/>
      <c r="I74" s="15"/>
      <c r="J74" s="15"/>
      <c r="K74" s="15"/>
      <c r="L74" s="15"/>
      <c r="M74" s="14"/>
      <c r="N74" s="17" t="str">
        <f aca="true">IF(OR(A74="",K74="Ganho",K74="Perdido"),"",TODAY()-IF(M74="",A74,MIN(M74,TODAY())))</f>
        <v/>
      </c>
      <c r="O74" s="15"/>
    </row>
    <row r="75" customFormat="false" ht="15" hidden="false" customHeight="false" outlineLevel="0" collapsed="false">
      <c r="A75" s="14"/>
      <c r="B75" s="15"/>
      <c r="C75" s="15"/>
      <c r="D75" s="15"/>
      <c r="E75" s="15"/>
      <c r="F75" s="15"/>
      <c r="G75" s="16"/>
      <c r="H75" s="16"/>
      <c r="I75" s="15"/>
      <c r="J75" s="15"/>
      <c r="K75" s="15"/>
      <c r="L75" s="15"/>
      <c r="M75" s="14"/>
      <c r="N75" s="17" t="str">
        <f aca="true">IF(OR(A75="",K75="Ganho",K75="Perdido"),"",TODAY()-IF(M75="",A75,MIN(M75,TODAY())))</f>
        <v/>
      </c>
      <c r="O75" s="15"/>
    </row>
    <row r="76" customFormat="false" ht="15" hidden="false" customHeight="false" outlineLevel="0" collapsed="false">
      <c r="A76" s="14"/>
      <c r="B76" s="15"/>
      <c r="C76" s="15"/>
      <c r="D76" s="15"/>
      <c r="E76" s="15"/>
      <c r="F76" s="15"/>
      <c r="G76" s="16"/>
      <c r="H76" s="16"/>
      <c r="I76" s="15"/>
      <c r="J76" s="15"/>
      <c r="K76" s="15"/>
      <c r="L76" s="15"/>
      <c r="M76" s="14"/>
      <c r="N76" s="17" t="str">
        <f aca="true">IF(OR(A76="",K76="Ganho",K76="Perdido"),"",TODAY()-IF(M76="",A76,MIN(M76,TODAY())))</f>
        <v/>
      </c>
      <c r="O76" s="15"/>
    </row>
    <row r="77" customFormat="false" ht="15" hidden="false" customHeight="false" outlineLevel="0" collapsed="false">
      <c r="A77" s="14"/>
      <c r="B77" s="15"/>
      <c r="C77" s="15"/>
      <c r="D77" s="15"/>
      <c r="E77" s="15"/>
      <c r="F77" s="15"/>
      <c r="G77" s="16"/>
      <c r="H77" s="16"/>
      <c r="I77" s="15"/>
      <c r="J77" s="15"/>
      <c r="K77" s="15"/>
      <c r="L77" s="15"/>
      <c r="M77" s="14"/>
      <c r="N77" s="17" t="str">
        <f aca="true">IF(OR(A77="",K77="Ganho",K77="Perdido"),"",TODAY()-IF(M77="",A77,MIN(M77,TODAY())))</f>
        <v/>
      </c>
      <c r="O77" s="15"/>
    </row>
    <row r="78" customFormat="false" ht="15" hidden="false" customHeight="false" outlineLevel="0" collapsed="false">
      <c r="A78" s="14"/>
      <c r="B78" s="15"/>
      <c r="C78" s="15"/>
      <c r="D78" s="15"/>
      <c r="E78" s="15"/>
      <c r="F78" s="15"/>
      <c r="G78" s="16"/>
      <c r="H78" s="16"/>
      <c r="I78" s="15"/>
      <c r="J78" s="15"/>
      <c r="K78" s="15"/>
      <c r="L78" s="15"/>
      <c r="M78" s="14"/>
      <c r="N78" s="17" t="str">
        <f aca="true">IF(OR(A78="",K78="Ganho",K78="Perdido"),"",TODAY()-IF(M78="",A78,MIN(M78,TODAY())))</f>
        <v/>
      </c>
      <c r="O78" s="15"/>
    </row>
    <row r="79" customFormat="false" ht="15" hidden="false" customHeight="false" outlineLevel="0" collapsed="false">
      <c r="A79" s="14"/>
      <c r="B79" s="15"/>
      <c r="C79" s="15"/>
      <c r="D79" s="15"/>
      <c r="E79" s="15"/>
      <c r="F79" s="15"/>
      <c r="G79" s="16"/>
      <c r="H79" s="16"/>
      <c r="I79" s="15"/>
      <c r="J79" s="15"/>
      <c r="K79" s="15"/>
      <c r="L79" s="15"/>
      <c r="M79" s="14"/>
      <c r="N79" s="17" t="str">
        <f aca="true">IF(OR(A79="",K79="Ganho",K79="Perdido"),"",TODAY()-IF(M79="",A79,MIN(M79,TODAY())))</f>
        <v/>
      </c>
      <c r="O79" s="15"/>
    </row>
    <row r="80" customFormat="false" ht="15" hidden="false" customHeight="false" outlineLevel="0" collapsed="false">
      <c r="A80" s="14"/>
      <c r="B80" s="15"/>
      <c r="C80" s="15"/>
      <c r="D80" s="15"/>
      <c r="E80" s="15"/>
      <c r="F80" s="15"/>
      <c r="G80" s="16"/>
      <c r="H80" s="16"/>
      <c r="I80" s="15"/>
      <c r="J80" s="15"/>
      <c r="K80" s="15"/>
      <c r="L80" s="15"/>
      <c r="M80" s="14"/>
      <c r="N80" s="17" t="str">
        <f aca="true">IF(OR(A80="",K80="Ganho",K80="Perdido"),"",TODAY()-IF(M80="",A80,MIN(M80,TODAY())))</f>
        <v/>
      </c>
      <c r="O80" s="15"/>
    </row>
    <row r="81" customFormat="false" ht="15" hidden="false" customHeight="false" outlineLevel="0" collapsed="false">
      <c r="A81" s="14"/>
      <c r="B81" s="15"/>
      <c r="C81" s="15"/>
      <c r="D81" s="15"/>
      <c r="E81" s="15"/>
      <c r="F81" s="15"/>
      <c r="G81" s="16"/>
      <c r="H81" s="16"/>
      <c r="I81" s="15"/>
      <c r="J81" s="15"/>
      <c r="K81" s="15"/>
      <c r="L81" s="15"/>
      <c r="M81" s="14"/>
      <c r="N81" s="17" t="str">
        <f aca="true">IF(OR(A81="",K81="Ganho",K81="Perdido"),"",TODAY()-IF(M81="",A81,MIN(M81,TODAY())))</f>
        <v/>
      </c>
      <c r="O81" s="15"/>
    </row>
    <row r="82" customFormat="false" ht="15" hidden="false" customHeight="false" outlineLevel="0" collapsed="false">
      <c r="A82" s="14"/>
      <c r="B82" s="15"/>
      <c r="C82" s="15"/>
      <c r="D82" s="15"/>
      <c r="E82" s="15"/>
      <c r="F82" s="15"/>
      <c r="G82" s="16"/>
      <c r="H82" s="16"/>
      <c r="I82" s="15"/>
      <c r="J82" s="15"/>
      <c r="K82" s="15"/>
      <c r="L82" s="15"/>
      <c r="M82" s="14"/>
      <c r="N82" s="17" t="str">
        <f aca="true">IF(OR(A82="",K82="Ganho",K82="Perdido"),"",TODAY()-IF(M82="",A82,MIN(M82,TODAY())))</f>
        <v/>
      </c>
      <c r="O82" s="15"/>
    </row>
    <row r="83" customFormat="false" ht="15" hidden="false" customHeight="false" outlineLevel="0" collapsed="false">
      <c r="A83" s="14"/>
      <c r="B83" s="15"/>
      <c r="C83" s="15"/>
      <c r="D83" s="15"/>
      <c r="E83" s="15"/>
      <c r="F83" s="15"/>
      <c r="G83" s="16"/>
      <c r="H83" s="16"/>
      <c r="I83" s="15"/>
      <c r="J83" s="15"/>
      <c r="K83" s="15"/>
      <c r="L83" s="15"/>
      <c r="M83" s="14"/>
      <c r="N83" s="17" t="str">
        <f aca="true">IF(OR(A83="",K83="Ganho",K83="Perdido"),"",TODAY()-IF(M83="",A83,MIN(M83,TODAY())))</f>
        <v/>
      </c>
      <c r="O83" s="15"/>
    </row>
    <row r="84" customFormat="false" ht="15" hidden="false" customHeight="false" outlineLevel="0" collapsed="false">
      <c r="A84" s="14"/>
      <c r="B84" s="15"/>
      <c r="C84" s="15"/>
      <c r="D84" s="15"/>
      <c r="E84" s="15"/>
      <c r="F84" s="15"/>
      <c r="G84" s="16"/>
      <c r="H84" s="16"/>
      <c r="I84" s="15"/>
      <c r="J84" s="15"/>
      <c r="K84" s="15"/>
      <c r="L84" s="15"/>
      <c r="M84" s="14"/>
      <c r="N84" s="17" t="str">
        <f aca="true">IF(OR(A84="",K84="Ganho",K84="Perdido"),"",TODAY()-IF(M84="",A84,MIN(M84,TODAY())))</f>
        <v/>
      </c>
      <c r="O84" s="15"/>
    </row>
    <row r="85" customFormat="false" ht="15" hidden="false" customHeight="false" outlineLevel="0" collapsed="false">
      <c r="A85" s="14"/>
      <c r="B85" s="15"/>
      <c r="C85" s="15"/>
      <c r="D85" s="15"/>
      <c r="E85" s="15"/>
      <c r="F85" s="15"/>
      <c r="G85" s="16"/>
      <c r="H85" s="16"/>
      <c r="I85" s="15"/>
      <c r="J85" s="15"/>
      <c r="K85" s="15"/>
      <c r="L85" s="15"/>
      <c r="M85" s="14"/>
      <c r="N85" s="17" t="str">
        <f aca="true">IF(OR(A85="",K85="Ganho",K85="Perdido"),"",TODAY()-IF(M85="",A85,MIN(M85,TODAY())))</f>
        <v/>
      </c>
      <c r="O85" s="15"/>
    </row>
    <row r="86" customFormat="false" ht="15" hidden="false" customHeight="false" outlineLevel="0" collapsed="false">
      <c r="A86" s="14"/>
      <c r="B86" s="15"/>
      <c r="C86" s="15"/>
      <c r="D86" s="15"/>
      <c r="E86" s="15"/>
      <c r="F86" s="15"/>
      <c r="G86" s="16"/>
      <c r="H86" s="16"/>
      <c r="I86" s="15"/>
      <c r="J86" s="15"/>
      <c r="K86" s="15"/>
      <c r="L86" s="15"/>
      <c r="M86" s="14"/>
      <c r="N86" s="17" t="str">
        <f aca="true">IF(OR(A86="",K86="Ganho",K86="Perdido"),"",TODAY()-IF(M86="",A86,MIN(M86,TODAY())))</f>
        <v/>
      </c>
      <c r="O86" s="15"/>
    </row>
    <row r="87" customFormat="false" ht="15" hidden="false" customHeight="false" outlineLevel="0" collapsed="false">
      <c r="A87" s="14"/>
      <c r="B87" s="15"/>
      <c r="C87" s="15"/>
      <c r="D87" s="15"/>
      <c r="E87" s="15"/>
      <c r="F87" s="15"/>
      <c r="G87" s="16"/>
      <c r="H87" s="16"/>
      <c r="I87" s="15"/>
      <c r="J87" s="15"/>
      <c r="K87" s="15"/>
      <c r="L87" s="15"/>
      <c r="M87" s="14"/>
      <c r="N87" s="17" t="str">
        <f aca="true">IF(OR(A87="",K87="Ganho",K87="Perdido"),"",TODAY()-IF(M87="",A87,MIN(M87,TODAY())))</f>
        <v/>
      </c>
      <c r="O87" s="15"/>
    </row>
    <row r="88" customFormat="false" ht="15" hidden="false" customHeight="false" outlineLevel="0" collapsed="false">
      <c r="A88" s="14"/>
      <c r="B88" s="15"/>
      <c r="C88" s="15"/>
      <c r="D88" s="15"/>
      <c r="E88" s="15"/>
      <c r="F88" s="15"/>
      <c r="G88" s="16"/>
      <c r="H88" s="16"/>
      <c r="I88" s="15"/>
      <c r="J88" s="15"/>
      <c r="K88" s="15"/>
      <c r="L88" s="15"/>
      <c r="M88" s="14"/>
      <c r="N88" s="17" t="str">
        <f aca="true">IF(OR(A88="",K88="Ganho",K88="Perdido"),"",TODAY()-IF(M88="",A88,MIN(M88,TODAY())))</f>
        <v/>
      </c>
      <c r="O88" s="15"/>
    </row>
    <row r="89" customFormat="false" ht="15" hidden="false" customHeight="false" outlineLevel="0" collapsed="false">
      <c r="A89" s="14"/>
      <c r="B89" s="15"/>
      <c r="C89" s="15"/>
      <c r="D89" s="15"/>
      <c r="E89" s="15"/>
      <c r="F89" s="15"/>
      <c r="G89" s="16"/>
      <c r="H89" s="16"/>
      <c r="I89" s="15"/>
      <c r="J89" s="15"/>
      <c r="K89" s="15"/>
      <c r="L89" s="15"/>
      <c r="M89" s="14"/>
      <c r="N89" s="17" t="str">
        <f aca="true">IF(OR(A89="",K89="Ganho",K89="Perdido"),"",TODAY()-IF(M89="",A89,MIN(M89,TODAY())))</f>
        <v/>
      </c>
      <c r="O89" s="15"/>
    </row>
    <row r="90" customFormat="false" ht="15" hidden="false" customHeight="false" outlineLevel="0" collapsed="false">
      <c r="A90" s="14"/>
      <c r="B90" s="15"/>
      <c r="C90" s="15"/>
      <c r="D90" s="15"/>
      <c r="E90" s="15"/>
      <c r="F90" s="15"/>
      <c r="G90" s="16"/>
      <c r="H90" s="16"/>
      <c r="I90" s="15"/>
      <c r="J90" s="15"/>
      <c r="K90" s="15"/>
      <c r="L90" s="15"/>
      <c r="M90" s="14"/>
      <c r="N90" s="17" t="str">
        <f aca="true">IF(OR(A90="",K90="Ganho",K90="Perdido"),"",TODAY()-IF(M90="",A90,MIN(M90,TODAY())))</f>
        <v/>
      </c>
      <c r="O90" s="15"/>
    </row>
    <row r="91" customFormat="false" ht="15" hidden="false" customHeight="false" outlineLevel="0" collapsed="false">
      <c r="A91" s="14"/>
      <c r="B91" s="15"/>
      <c r="C91" s="15"/>
      <c r="D91" s="15"/>
      <c r="E91" s="15"/>
      <c r="F91" s="15"/>
      <c r="G91" s="16"/>
      <c r="H91" s="16"/>
      <c r="I91" s="15"/>
      <c r="J91" s="15"/>
      <c r="K91" s="15"/>
      <c r="L91" s="15"/>
      <c r="M91" s="14"/>
      <c r="N91" s="17" t="str">
        <f aca="true">IF(OR(A91="",K91="Ganho",K91="Perdido"),"",TODAY()-IF(M91="",A91,MIN(M91,TODAY())))</f>
        <v/>
      </c>
      <c r="O91" s="15"/>
    </row>
    <row r="92" customFormat="false" ht="15" hidden="false" customHeight="false" outlineLevel="0" collapsed="false">
      <c r="A92" s="14"/>
      <c r="B92" s="15"/>
      <c r="C92" s="15"/>
      <c r="D92" s="15"/>
      <c r="E92" s="15"/>
      <c r="F92" s="15"/>
      <c r="G92" s="16"/>
      <c r="H92" s="16"/>
      <c r="I92" s="15"/>
      <c r="J92" s="15"/>
      <c r="K92" s="15"/>
      <c r="L92" s="15"/>
      <c r="M92" s="14"/>
      <c r="N92" s="17" t="str">
        <f aca="true">IF(OR(A92="",K92="Ganho",K92="Perdido"),"",TODAY()-IF(M92="",A92,MIN(M92,TODAY())))</f>
        <v/>
      </c>
      <c r="O92" s="15"/>
    </row>
    <row r="93" customFormat="false" ht="15" hidden="false" customHeight="false" outlineLevel="0" collapsed="false">
      <c r="A93" s="14"/>
      <c r="B93" s="15"/>
      <c r="C93" s="15"/>
      <c r="D93" s="15"/>
      <c r="E93" s="15"/>
      <c r="F93" s="15"/>
      <c r="G93" s="16"/>
      <c r="H93" s="16"/>
      <c r="I93" s="15"/>
      <c r="J93" s="15"/>
      <c r="K93" s="15"/>
      <c r="L93" s="15"/>
      <c r="M93" s="14"/>
      <c r="N93" s="17" t="str">
        <f aca="true">IF(OR(A93="",K93="Ganho",K93="Perdido"),"",TODAY()-IF(M93="",A93,MIN(M93,TODAY())))</f>
        <v/>
      </c>
      <c r="O93" s="15"/>
    </row>
    <row r="94" customFormat="false" ht="15" hidden="false" customHeight="false" outlineLevel="0" collapsed="false">
      <c r="A94" s="14"/>
      <c r="B94" s="15"/>
      <c r="C94" s="15"/>
      <c r="D94" s="15"/>
      <c r="E94" s="15"/>
      <c r="F94" s="15"/>
      <c r="G94" s="16"/>
      <c r="H94" s="16"/>
      <c r="I94" s="15"/>
      <c r="J94" s="15"/>
      <c r="K94" s="15"/>
      <c r="L94" s="15"/>
      <c r="M94" s="14"/>
      <c r="N94" s="17" t="str">
        <f aca="true">IF(OR(A94="",K94="Ganho",K94="Perdido"),"",TODAY()-IF(M94="",A94,MIN(M94,TODAY())))</f>
        <v/>
      </c>
      <c r="O94" s="15"/>
    </row>
    <row r="95" customFormat="false" ht="15" hidden="false" customHeight="false" outlineLevel="0" collapsed="false">
      <c r="A95" s="14"/>
      <c r="B95" s="15"/>
      <c r="C95" s="15"/>
      <c r="D95" s="15"/>
      <c r="E95" s="15"/>
      <c r="F95" s="15"/>
      <c r="G95" s="16"/>
      <c r="H95" s="16"/>
      <c r="I95" s="15"/>
      <c r="J95" s="15"/>
      <c r="K95" s="15"/>
      <c r="L95" s="15"/>
      <c r="M95" s="14"/>
      <c r="N95" s="17" t="str">
        <f aca="true">IF(OR(A95="",K95="Ganho",K95="Perdido"),"",TODAY()-IF(M95="",A95,MIN(M95,TODAY())))</f>
        <v/>
      </c>
      <c r="O95" s="15"/>
    </row>
    <row r="96" customFormat="false" ht="15" hidden="false" customHeight="false" outlineLevel="0" collapsed="false">
      <c r="A96" s="14"/>
      <c r="B96" s="15"/>
      <c r="C96" s="15"/>
      <c r="D96" s="15"/>
      <c r="E96" s="15"/>
      <c r="F96" s="15"/>
      <c r="G96" s="16"/>
      <c r="H96" s="16"/>
      <c r="I96" s="15"/>
      <c r="J96" s="15"/>
      <c r="K96" s="15"/>
      <c r="L96" s="15"/>
      <c r="M96" s="14"/>
      <c r="N96" s="17" t="str">
        <f aca="true">IF(OR(A96="",K96="Ganho",K96="Perdido"),"",TODAY()-IF(M96="",A96,MIN(M96,TODAY())))</f>
        <v/>
      </c>
      <c r="O96" s="15"/>
    </row>
    <row r="97" customFormat="false" ht="15" hidden="false" customHeight="false" outlineLevel="0" collapsed="false">
      <c r="A97" s="14"/>
      <c r="B97" s="15"/>
      <c r="C97" s="15"/>
      <c r="D97" s="15"/>
      <c r="E97" s="15"/>
      <c r="F97" s="15"/>
      <c r="G97" s="16"/>
      <c r="H97" s="16"/>
      <c r="I97" s="15"/>
      <c r="J97" s="15"/>
      <c r="K97" s="15"/>
      <c r="L97" s="15"/>
      <c r="M97" s="14"/>
      <c r="N97" s="17" t="str">
        <f aca="true">IF(OR(A97="",K97="Ganho",K97="Perdido"),"",TODAY()-IF(M97="",A97,MIN(M97,TODAY())))</f>
        <v/>
      </c>
      <c r="O97" s="15"/>
    </row>
    <row r="98" customFormat="false" ht="15" hidden="false" customHeight="false" outlineLevel="0" collapsed="false">
      <c r="A98" s="14"/>
      <c r="B98" s="15"/>
      <c r="C98" s="15"/>
      <c r="D98" s="15"/>
      <c r="E98" s="15"/>
      <c r="F98" s="15"/>
      <c r="G98" s="16"/>
      <c r="H98" s="16"/>
      <c r="I98" s="15"/>
      <c r="J98" s="15"/>
      <c r="K98" s="15"/>
      <c r="L98" s="15"/>
      <c r="M98" s="14"/>
      <c r="N98" s="17" t="str">
        <f aca="true">IF(OR(A98="",K98="Ganho",K98="Perdido"),"",TODAY()-IF(M98="",A98,MIN(M98,TODAY())))</f>
        <v/>
      </c>
      <c r="O98" s="15"/>
    </row>
    <row r="99" customFormat="false" ht="15" hidden="false" customHeight="false" outlineLevel="0" collapsed="false">
      <c r="A99" s="14"/>
      <c r="B99" s="15"/>
      <c r="C99" s="15"/>
      <c r="D99" s="15"/>
      <c r="E99" s="15"/>
      <c r="F99" s="15"/>
      <c r="G99" s="16"/>
      <c r="H99" s="16"/>
      <c r="I99" s="15"/>
      <c r="J99" s="15"/>
      <c r="K99" s="15"/>
      <c r="L99" s="15"/>
      <c r="M99" s="14"/>
      <c r="N99" s="17" t="str">
        <f aca="true">IF(OR(A99="",K99="Ganho",K99="Perdido"),"",TODAY()-IF(M99="",A99,MIN(M99,TODAY())))</f>
        <v/>
      </c>
      <c r="O99" s="15"/>
    </row>
    <row r="100" customFormat="false" ht="15" hidden="false" customHeight="false" outlineLevel="0" collapsed="false">
      <c r="A100" s="14"/>
      <c r="B100" s="15"/>
      <c r="C100" s="15"/>
      <c r="D100" s="15"/>
      <c r="E100" s="15"/>
      <c r="F100" s="15"/>
      <c r="G100" s="16"/>
      <c r="H100" s="16"/>
      <c r="I100" s="15"/>
      <c r="J100" s="15"/>
      <c r="K100" s="15"/>
      <c r="L100" s="15"/>
      <c r="M100" s="14"/>
      <c r="N100" s="17" t="str">
        <f aca="true">IF(OR(A100="",K100="Ganho",K100="Perdido"),"",TODAY()-IF(M100="",A100,MIN(M100,TODAY())))</f>
        <v/>
      </c>
      <c r="O100" s="15"/>
    </row>
    <row r="101" customFormat="false" ht="15" hidden="false" customHeight="false" outlineLevel="0" collapsed="false">
      <c r="A101" s="14"/>
      <c r="B101" s="15"/>
      <c r="C101" s="15"/>
      <c r="D101" s="15"/>
      <c r="E101" s="15"/>
      <c r="F101" s="15"/>
      <c r="G101" s="16"/>
      <c r="H101" s="16"/>
      <c r="I101" s="15"/>
      <c r="J101" s="15"/>
      <c r="K101" s="15"/>
      <c r="L101" s="15"/>
      <c r="M101" s="14"/>
      <c r="N101" s="17" t="str">
        <f aca="true">IF(OR(A101="",K101="Ganho",K101="Perdido"),"",TODAY()-IF(M101="",A101,MIN(M101,TODAY())))</f>
        <v/>
      </c>
      <c r="O101" s="15"/>
    </row>
    <row r="102" customFormat="false" ht="15" hidden="false" customHeight="false" outlineLevel="0" collapsed="false">
      <c r="A102" s="14"/>
      <c r="B102" s="15"/>
      <c r="C102" s="15"/>
      <c r="D102" s="15"/>
      <c r="E102" s="15"/>
      <c r="F102" s="15"/>
      <c r="G102" s="16"/>
      <c r="H102" s="16"/>
      <c r="I102" s="15"/>
      <c r="J102" s="15"/>
      <c r="K102" s="15"/>
      <c r="L102" s="15"/>
      <c r="M102" s="14"/>
      <c r="N102" s="17" t="str">
        <f aca="true">IF(OR(A102="",K102="Ganho",K102="Perdido"),"",TODAY()-IF(M102="",A102,MIN(M102,TODAY())))</f>
        <v/>
      </c>
      <c r="O102" s="15"/>
    </row>
    <row r="103" customFormat="false" ht="15" hidden="false" customHeight="false" outlineLevel="0" collapsed="false">
      <c r="A103" s="14"/>
      <c r="B103" s="15"/>
      <c r="C103" s="15"/>
      <c r="D103" s="15"/>
      <c r="E103" s="15"/>
      <c r="F103" s="15"/>
      <c r="G103" s="16"/>
      <c r="H103" s="16"/>
      <c r="I103" s="15"/>
      <c r="J103" s="15"/>
      <c r="K103" s="15"/>
      <c r="L103" s="15"/>
      <c r="M103" s="14"/>
      <c r="N103" s="17" t="str">
        <f aca="true">IF(OR(A103="",K103="Ganho",K103="Perdido"),"",TODAY()-IF(M103="",A103,MIN(M103,TODAY())))</f>
        <v/>
      </c>
      <c r="O103" s="15"/>
    </row>
    <row r="104" customFormat="false" ht="15" hidden="false" customHeight="false" outlineLevel="0" collapsed="false">
      <c r="A104" s="14"/>
      <c r="B104" s="15"/>
      <c r="C104" s="15"/>
      <c r="D104" s="15"/>
      <c r="E104" s="15"/>
      <c r="F104" s="15"/>
      <c r="G104" s="16"/>
      <c r="H104" s="16"/>
      <c r="I104" s="15"/>
      <c r="J104" s="15"/>
      <c r="K104" s="15"/>
      <c r="L104" s="15"/>
      <c r="M104" s="14"/>
      <c r="N104" s="17" t="str">
        <f aca="true">IF(OR(A104="",K104="Ganho",K104="Perdido"),"",TODAY()-IF(M104="",A104,MIN(M104,TODAY())))</f>
        <v/>
      </c>
      <c r="O104" s="15"/>
    </row>
    <row r="105" customFormat="false" ht="15" hidden="false" customHeight="false" outlineLevel="0" collapsed="false">
      <c r="A105" s="14"/>
      <c r="B105" s="15"/>
      <c r="C105" s="15"/>
      <c r="D105" s="15"/>
      <c r="E105" s="15"/>
      <c r="F105" s="15"/>
      <c r="G105" s="16"/>
      <c r="H105" s="16"/>
      <c r="I105" s="15"/>
      <c r="J105" s="15"/>
      <c r="K105" s="15"/>
      <c r="L105" s="15"/>
      <c r="M105" s="14"/>
      <c r="N105" s="17" t="str">
        <f aca="true">IF(OR(A105="",K105="Ganho",K105="Perdido"),"",TODAY()-IF(M105="",A105,MIN(M105,TODAY())))</f>
        <v/>
      </c>
      <c r="O105" s="15"/>
    </row>
    <row r="106" customFormat="false" ht="15" hidden="false" customHeight="false" outlineLevel="0" collapsed="false">
      <c r="A106" s="14"/>
      <c r="B106" s="15"/>
      <c r="C106" s="15"/>
      <c r="D106" s="15"/>
      <c r="E106" s="15"/>
      <c r="F106" s="15"/>
      <c r="G106" s="16"/>
      <c r="H106" s="16"/>
      <c r="I106" s="15"/>
      <c r="J106" s="15"/>
      <c r="K106" s="15"/>
      <c r="L106" s="15"/>
      <c r="M106" s="14"/>
      <c r="N106" s="17" t="str">
        <f aca="true">IF(OR(A106="",K106="Ganho",K106="Perdido"),"",TODAY()-IF(M106="",A106,MIN(M106,TODAY())))</f>
        <v/>
      </c>
      <c r="O106" s="15"/>
    </row>
    <row r="107" customFormat="false" ht="15" hidden="false" customHeight="false" outlineLevel="0" collapsed="false">
      <c r="A107" s="14"/>
      <c r="B107" s="15"/>
      <c r="C107" s="15"/>
      <c r="D107" s="15"/>
      <c r="E107" s="15"/>
      <c r="F107" s="15"/>
      <c r="G107" s="16"/>
      <c r="H107" s="16"/>
      <c r="I107" s="15"/>
      <c r="J107" s="15"/>
      <c r="K107" s="15"/>
      <c r="L107" s="15"/>
      <c r="M107" s="14"/>
      <c r="N107" s="17" t="str">
        <f aca="true">IF(OR(A107="",K107="Ganho",K107="Perdido"),"",TODAY()-IF(M107="",A107,MIN(M107,TODAY())))</f>
        <v/>
      </c>
      <c r="O107" s="15"/>
    </row>
    <row r="108" customFormat="false" ht="15" hidden="false" customHeight="false" outlineLevel="0" collapsed="false">
      <c r="A108" s="14"/>
      <c r="B108" s="15"/>
      <c r="C108" s="15"/>
      <c r="D108" s="15"/>
      <c r="E108" s="15"/>
      <c r="F108" s="15"/>
      <c r="G108" s="16"/>
      <c r="H108" s="16"/>
      <c r="I108" s="15"/>
      <c r="J108" s="15"/>
      <c r="K108" s="15"/>
      <c r="L108" s="15"/>
      <c r="M108" s="14"/>
      <c r="N108" s="17" t="str">
        <f aca="true">IF(OR(A108="",K108="Ganho",K108="Perdido"),"",TODAY()-IF(M108="",A108,MIN(M108,TODAY())))</f>
        <v/>
      </c>
      <c r="O108" s="15"/>
    </row>
    <row r="109" customFormat="false" ht="15" hidden="false" customHeight="false" outlineLevel="0" collapsed="false">
      <c r="A109" s="14"/>
      <c r="B109" s="15"/>
      <c r="C109" s="15"/>
      <c r="D109" s="15"/>
      <c r="E109" s="15"/>
      <c r="F109" s="15"/>
      <c r="G109" s="16"/>
      <c r="H109" s="16"/>
      <c r="I109" s="15"/>
      <c r="J109" s="15"/>
      <c r="K109" s="15"/>
      <c r="L109" s="15"/>
      <c r="M109" s="14"/>
      <c r="N109" s="17" t="str">
        <f aca="true">IF(OR(A109="",K109="Ganho",K109="Perdido"),"",TODAY()-IF(M109="",A109,MIN(M109,TODAY())))</f>
        <v/>
      </c>
      <c r="O109" s="15"/>
    </row>
    <row r="110" customFormat="false" ht="15" hidden="false" customHeight="false" outlineLevel="0" collapsed="false">
      <c r="A110" s="14"/>
      <c r="B110" s="15"/>
      <c r="C110" s="15"/>
      <c r="D110" s="15"/>
      <c r="E110" s="15"/>
      <c r="F110" s="15"/>
      <c r="G110" s="16"/>
      <c r="H110" s="16"/>
      <c r="I110" s="15"/>
      <c r="J110" s="15"/>
      <c r="K110" s="15"/>
      <c r="L110" s="15"/>
      <c r="M110" s="14"/>
      <c r="N110" s="17" t="str">
        <f aca="true">IF(OR(A110="",K110="Ganho",K110="Perdido"),"",TODAY()-IF(M110="",A110,MIN(M110,TODAY())))</f>
        <v/>
      </c>
      <c r="O110" s="15"/>
    </row>
    <row r="111" customFormat="false" ht="15" hidden="false" customHeight="false" outlineLevel="0" collapsed="false">
      <c r="A111" s="14"/>
      <c r="B111" s="15"/>
      <c r="C111" s="15"/>
      <c r="D111" s="15"/>
      <c r="E111" s="15"/>
      <c r="F111" s="15"/>
      <c r="G111" s="16"/>
      <c r="H111" s="16"/>
      <c r="I111" s="15"/>
      <c r="J111" s="15"/>
      <c r="K111" s="15"/>
      <c r="L111" s="15"/>
      <c r="M111" s="14"/>
      <c r="N111" s="17" t="str">
        <f aca="true">IF(OR(A111="",K111="Ganho",K111="Perdido"),"",TODAY()-IF(M111="",A111,MIN(M111,TODAY())))</f>
        <v/>
      </c>
      <c r="O111" s="15"/>
    </row>
    <row r="112" customFormat="false" ht="15" hidden="false" customHeight="false" outlineLevel="0" collapsed="false">
      <c r="A112" s="14"/>
      <c r="B112" s="15"/>
      <c r="C112" s="15"/>
      <c r="D112" s="15"/>
      <c r="E112" s="15"/>
      <c r="F112" s="15"/>
      <c r="G112" s="16"/>
      <c r="H112" s="16"/>
      <c r="I112" s="15"/>
      <c r="J112" s="15"/>
      <c r="K112" s="15"/>
      <c r="L112" s="15"/>
      <c r="M112" s="14"/>
      <c r="N112" s="17" t="str">
        <f aca="true">IF(OR(A112="",K112="Ganho",K112="Perdido"),"",TODAY()-IF(M112="",A112,MIN(M112,TODAY())))</f>
        <v/>
      </c>
      <c r="O112" s="15"/>
    </row>
    <row r="113" customFormat="false" ht="15" hidden="false" customHeight="false" outlineLevel="0" collapsed="false">
      <c r="A113" s="14"/>
      <c r="B113" s="15"/>
      <c r="C113" s="15"/>
      <c r="D113" s="15"/>
      <c r="E113" s="15"/>
      <c r="F113" s="15"/>
      <c r="G113" s="16"/>
      <c r="H113" s="16"/>
      <c r="I113" s="15"/>
      <c r="J113" s="15"/>
      <c r="K113" s="15"/>
      <c r="L113" s="15"/>
      <c r="M113" s="14"/>
      <c r="N113" s="17" t="str">
        <f aca="true">IF(OR(A113="",K113="Ganho",K113="Perdido"),"",TODAY()-IF(M113="",A113,MIN(M113,TODAY())))</f>
        <v/>
      </c>
      <c r="O113" s="15"/>
    </row>
    <row r="114" customFormat="false" ht="15" hidden="false" customHeight="false" outlineLevel="0" collapsed="false">
      <c r="A114" s="14"/>
      <c r="B114" s="15"/>
      <c r="C114" s="15"/>
      <c r="D114" s="15"/>
      <c r="E114" s="15"/>
      <c r="F114" s="15"/>
      <c r="G114" s="16"/>
      <c r="H114" s="16"/>
      <c r="I114" s="15"/>
      <c r="J114" s="15"/>
      <c r="K114" s="15"/>
      <c r="L114" s="15"/>
      <c r="M114" s="14"/>
      <c r="N114" s="17" t="str">
        <f aca="true">IF(OR(A114="",K114="Ganho",K114="Perdido"),"",TODAY()-IF(M114="",A114,MIN(M114,TODAY())))</f>
        <v/>
      </c>
      <c r="O114" s="15"/>
    </row>
    <row r="115" customFormat="false" ht="15" hidden="false" customHeight="false" outlineLevel="0" collapsed="false">
      <c r="A115" s="14"/>
      <c r="B115" s="15"/>
      <c r="C115" s="15"/>
      <c r="D115" s="15"/>
      <c r="E115" s="15"/>
      <c r="F115" s="15"/>
      <c r="G115" s="16"/>
      <c r="H115" s="16"/>
      <c r="I115" s="15"/>
      <c r="J115" s="15"/>
      <c r="K115" s="15"/>
      <c r="L115" s="15"/>
      <c r="M115" s="14"/>
      <c r="N115" s="17" t="str">
        <f aca="true">IF(OR(A115="",K115="Ganho",K115="Perdido"),"",TODAY()-IF(M115="",A115,MIN(M115,TODAY())))</f>
        <v/>
      </c>
      <c r="O115" s="15"/>
    </row>
    <row r="116" customFormat="false" ht="15" hidden="false" customHeight="false" outlineLevel="0" collapsed="false">
      <c r="A116" s="14"/>
      <c r="B116" s="15"/>
      <c r="C116" s="15"/>
      <c r="D116" s="15"/>
      <c r="E116" s="15"/>
      <c r="F116" s="15"/>
      <c r="G116" s="16"/>
      <c r="H116" s="16"/>
      <c r="I116" s="15"/>
      <c r="J116" s="15"/>
      <c r="K116" s="15"/>
      <c r="L116" s="15"/>
      <c r="M116" s="14"/>
      <c r="N116" s="17" t="str">
        <f aca="true">IF(OR(A116="",K116="Ganho",K116="Perdido"),"",TODAY()-IF(M116="",A116,MIN(M116,TODAY())))</f>
        <v/>
      </c>
      <c r="O116" s="15"/>
    </row>
    <row r="117" customFormat="false" ht="15" hidden="false" customHeight="false" outlineLevel="0" collapsed="false">
      <c r="A117" s="14"/>
      <c r="B117" s="15"/>
      <c r="C117" s="15"/>
      <c r="D117" s="15"/>
      <c r="E117" s="15"/>
      <c r="F117" s="15"/>
      <c r="G117" s="16"/>
      <c r="H117" s="16"/>
      <c r="I117" s="15"/>
      <c r="J117" s="15"/>
      <c r="K117" s="15"/>
      <c r="L117" s="15"/>
      <c r="M117" s="14"/>
      <c r="N117" s="17" t="str">
        <f aca="true">IF(OR(A117="",K117="Ganho",K117="Perdido"),"",TODAY()-IF(M117="",A117,MIN(M117,TODAY())))</f>
        <v/>
      </c>
      <c r="O117" s="15"/>
    </row>
    <row r="118" customFormat="false" ht="15" hidden="false" customHeight="false" outlineLevel="0" collapsed="false">
      <c r="A118" s="14"/>
      <c r="B118" s="15"/>
      <c r="C118" s="15"/>
      <c r="D118" s="15"/>
      <c r="E118" s="15"/>
      <c r="F118" s="15"/>
      <c r="G118" s="16"/>
      <c r="H118" s="16"/>
      <c r="I118" s="15"/>
      <c r="J118" s="15"/>
      <c r="K118" s="15"/>
      <c r="L118" s="15"/>
      <c r="M118" s="14"/>
      <c r="N118" s="17" t="str">
        <f aca="true">IF(OR(A118="",K118="Ganho",K118="Perdido"),"",TODAY()-IF(M118="",A118,MIN(M118,TODAY())))</f>
        <v/>
      </c>
      <c r="O118" s="15"/>
    </row>
    <row r="119" customFormat="false" ht="15" hidden="false" customHeight="false" outlineLevel="0" collapsed="false">
      <c r="A119" s="14"/>
      <c r="B119" s="15"/>
      <c r="C119" s="15"/>
      <c r="D119" s="15"/>
      <c r="E119" s="15"/>
      <c r="F119" s="15"/>
      <c r="G119" s="16"/>
      <c r="H119" s="16"/>
      <c r="I119" s="15"/>
      <c r="J119" s="15"/>
      <c r="K119" s="15"/>
      <c r="L119" s="15"/>
      <c r="M119" s="14"/>
      <c r="N119" s="17" t="str">
        <f aca="true">IF(OR(A119="",K119="Ganho",K119="Perdido"),"",TODAY()-IF(M119="",A119,MIN(M119,TODAY())))</f>
        <v/>
      </c>
      <c r="O119" s="15"/>
    </row>
    <row r="120" customFormat="false" ht="15" hidden="false" customHeight="false" outlineLevel="0" collapsed="false">
      <c r="A120" s="14"/>
      <c r="B120" s="15"/>
      <c r="C120" s="15"/>
      <c r="D120" s="15"/>
      <c r="E120" s="15"/>
      <c r="F120" s="15"/>
      <c r="G120" s="16"/>
      <c r="H120" s="16"/>
      <c r="I120" s="15"/>
      <c r="J120" s="15"/>
      <c r="K120" s="15"/>
      <c r="L120" s="15"/>
      <c r="M120" s="14"/>
      <c r="N120" s="17" t="str">
        <f aca="true">IF(OR(A120="",K120="Ganho",K120="Perdido"),"",TODAY()-IF(M120="",A120,MIN(M120,TODAY())))</f>
        <v/>
      </c>
      <c r="O120" s="15"/>
    </row>
    <row r="121" customFormat="false" ht="15" hidden="false" customHeight="false" outlineLevel="0" collapsed="false">
      <c r="A121" s="14"/>
      <c r="B121" s="15"/>
      <c r="C121" s="15"/>
      <c r="D121" s="15"/>
      <c r="E121" s="15"/>
      <c r="F121" s="15"/>
      <c r="G121" s="16"/>
      <c r="H121" s="16"/>
      <c r="I121" s="15"/>
      <c r="J121" s="15"/>
      <c r="K121" s="15"/>
      <c r="L121" s="15"/>
      <c r="M121" s="14"/>
      <c r="N121" s="17" t="str">
        <f aca="true">IF(OR(A121="",K121="Ganho",K121="Perdido"),"",TODAY()-IF(M121="",A121,MIN(M121,TODAY())))</f>
        <v/>
      </c>
      <c r="O121" s="15"/>
    </row>
    <row r="122" customFormat="false" ht="15" hidden="false" customHeight="false" outlineLevel="0" collapsed="false">
      <c r="A122" s="14"/>
      <c r="B122" s="15"/>
      <c r="C122" s="15"/>
      <c r="D122" s="15"/>
      <c r="E122" s="15"/>
      <c r="F122" s="15"/>
      <c r="G122" s="16"/>
      <c r="H122" s="16"/>
      <c r="I122" s="15"/>
      <c r="J122" s="15"/>
      <c r="K122" s="15"/>
      <c r="L122" s="15"/>
      <c r="M122" s="14"/>
      <c r="N122" s="17" t="str">
        <f aca="true">IF(OR(A122="",K122="Ganho",K122="Perdido"),"",TODAY()-IF(M122="",A122,MIN(M122,TODAY())))</f>
        <v/>
      </c>
      <c r="O122" s="15"/>
    </row>
    <row r="123" customFormat="false" ht="15" hidden="false" customHeight="false" outlineLevel="0" collapsed="false">
      <c r="A123" s="14"/>
      <c r="B123" s="15"/>
      <c r="C123" s="15"/>
      <c r="D123" s="15"/>
      <c r="E123" s="15"/>
      <c r="F123" s="15"/>
      <c r="G123" s="16"/>
      <c r="H123" s="16"/>
      <c r="I123" s="15"/>
      <c r="J123" s="15"/>
      <c r="K123" s="15"/>
      <c r="L123" s="15"/>
      <c r="M123" s="14"/>
      <c r="N123" s="17" t="str">
        <f aca="true">IF(OR(A123="",K123="Ganho",K123="Perdido"),"",TODAY()-IF(M123="",A123,MIN(M123,TODAY())))</f>
        <v/>
      </c>
      <c r="O123" s="15"/>
    </row>
    <row r="124" customFormat="false" ht="15" hidden="false" customHeight="false" outlineLevel="0" collapsed="false">
      <c r="A124" s="14"/>
      <c r="B124" s="15"/>
      <c r="C124" s="15"/>
      <c r="D124" s="15"/>
      <c r="E124" s="15"/>
      <c r="F124" s="15"/>
      <c r="G124" s="16"/>
      <c r="H124" s="16"/>
      <c r="I124" s="15"/>
      <c r="J124" s="15"/>
      <c r="K124" s="15"/>
      <c r="L124" s="15"/>
      <c r="M124" s="14"/>
      <c r="N124" s="17" t="str">
        <f aca="true">IF(OR(A124="",K124="Ganho",K124="Perdido"),"",TODAY()-IF(M124="",A124,MIN(M124,TODAY())))</f>
        <v/>
      </c>
      <c r="O124" s="15"/>
    </row>
    <row r="125" customFormat="false" ht="15" hidden="false" customHeight="false" outlineLevel="0" collapsed="false">
      <c r="A125" s="14"/>
      <c r="B125" s="15"/>
      <c r="C125" s="15"/>
      <c r="D125" s="15"/>
      <c r="E125" s="15"/>
      <c r="F125" s="15"/>
      <c r="G125" s="16"/>
      <c r="H125" s="16"/>
      <c r="I125" s="15"/>
      <c r="J125" s="15"/>
      <c r="K125" s="15"/>
      <c r="L125" s="15"/>
      <c r="M125" s="14"/>
      <c r="N125" s="17" t="str">
        <f aca="true">IF(OR(A125="",K125="Ganho",K125="Perdido"),"",TODAY()-IF(M125="",A125,MIN(M125,TODAY())))</f>
        <v/>
      </c>
      <c r="O125" s="15"/>
    </row>
    <row r="126" customFormat="false" ht="15" hidden="false" customHeight="false" outlineLevel="0" collapsed="false">
      <c r="A126" s="14"/>
      <c r="B126" s="15"/>
      <c r="C126" s="15"/>
      <c r="D126" s="15"/>
      <c r="E126" s="15"/>
      <c r="F126" s="15"/>
      <c r="G126" s="16"/>
      <c r="H126" s="16"/>
      <c r="I126" s="15"/>
      <c r="J126" s="15"/>
      <c r="K126" s="15"/>
      <c r="L126" s="15"/>
      <c r="M126" s="14"/>
      <c r="N126" s="17" t="str">
        <f aca="true">IF(OR(A126="",K126="Ganho",K126="Perdido"),"",TODAY()-IF(M126="",A126,MIN(M126,TODAY())))</f>
        <v/>
      </c>
      <c r="O126" s="15"/>
    </row>
    <row r="127" customFormat="false" ht="15" hidden="false" customHeight="false" outlineLevel="0" collapsed="false">
      <c r="A127" s="14"/>
      <c r="B127" s="15"/>
      <c r="C127" s="15"/>
      <c r="D127" s="15"/>
      <c r="E127" s="15"/>
      <c r="F127" s="15"/>
      <c r="G127" s="16"/>
      <c r="H127" s="16"/>
      <c r="I127" s="15"/>
      <c r="J127" s="15"/>
      <c r="K127" s="15"/>
      <c r="L127" s="15"/>
      <c r="M127" s="14"/>
      <c r="N127" s="17" t="str">
        <f aca="true">IF(OR(A127="",K127="Ganho",K127="Perdido"),"",TODAY()-IF(M127="",A127,MIN(M127,TODAY())))</f>
        <v/>
      </c>
      <c r="O127" s="15"/>
    </row>
    <row r="128" customFormat="false" ht="15" hidden="false" customHeight="false" outlineLevel="0" collapsed="false">
      <c r="A128" s="14"/>
      <c r="B128" s="15"/>
      <c r="C128" s="15"/>
      <c r="D128" s="15"/>
      <c r="E128" s="15"/>
      <c r="F128" s="15"/>
      <c r="G128" s="16"/>
      <c r="H128" s="16"/>
      <c r="I128" s="15"/>
      <c r="J128" s="15"/>
      <c r="K128" s="15"/>
      <c r="L128" s="15"/>
      <c r="M128" s="14"/>
      <c r="N128" s="17" t="str">
        <f aca="true">IF(OR(A128="",K128="Ganho",K128="Perdido"),"",TODAY()-IF(M128="",A128,MIN(M128,TODAY())))</f>
        <v/>
      </c>
      <c r="O128" s="15"/>
    </row>
    <row r="129" customFormat="false" ht="15" hidden="false" customHeight="false" outlineLevel="0" collapsed="false">
      <c r="A129" s="14"/>
      <c r="B129" s="15"/>
      <c r="C129" s="15"/>
      <c r="D129" s="15"/>
      <c r="E129" s="15"/>
      <c r="F129" s="15"/>
      <c r="G129" s="16"/>
      <c r="H129" s="16"/>
      <c r="I129" s="15"/>
      <c r="J129" s="15"/>
      <c r="K129" s="15"/>
      <c r="L129" s="15"/>
      <c r="M129" s="14"/>
      <c r="N129" s="17" t="str">
        <f aca="true">IF(OR(A129="",K129="Ganho",K129="Perdido"),"",TODAY()-IF(M129="",A129,MIN(M129,TODAY())))</f>
        <v/>
      </c>
      <c r="O129" s="15"/>
    </row>
    <row r="130" customFormat="false" ht="15" hidden="false" customHeight="false" outlineLevel="0" collapsed="false">
      <c r="A130" s="14"/>
      <c r="B130" s="15"/>
      <c r="C130" s="15"/>
      <c r="D130" s="15"/>
      <c r="E130" s="15"/>
      <c r="F130" s="15"/>
      <c r="G130" s="16"/>
      <c r="H130" s="16"/>
      <c r="I130" s="15"/>
      <c r="J130" s="15"/>
      <c r="K130" s="15"/>
      <c r="L130" s="15"/>
      <c r="M130" s="14"/>
      <c r="N130" s="17" t="str">
        <f aca="true">IF(OR(A130="",K130="Ganho",K130="Perdido"),"",TODAY()-IF(M130="",A130,MIN(M130,TODAY())))</f>
        <v/>
      </c>
      <c r="O130" s="15"/>
    </row>
    <row r="131" customFormat="false" ht="15" hidden="false" customHeight="false" outlineLevel="0" collapsed="false">
      <c r="A131" s="14"/>
      <c r="B131" s="15"/>
      <c r="C131" s="15"/>
      <c r="D131" s="15"/>
      <c r="E131" s="15"/>
      <c r="F131" s="15"/>
      <c r="G131" s="16"/>
      <c r="H131" s="16"/>
      <c r="I131" s="15"/>
      <c r="J131" s="15"/>
      <c r="K131" s="15"/>
      <c r="L131" s="15"/>
      <c r="M131" s="14"/>
      <c r="N131" s="17" t="str">
        <f aca="true">IF(OR(A131="",K131="Ganho",K131="Perdido"),"",TODAY()-IF(M131="",A131,MIN(M131,TODAY())))</f>
        <v/>
      </c>
      <c r="O131" s="15"/>
    </row>
    <row r="132" customFormat="false" ht="15" hidden="false" customHeight="false" outlineLevel="0" collapsed="false">
      <c r="A132" s="14"/>
      <c r="B132" s="15"/>
      <c r="C132" s="15"/>
      <c r="D132" s="15"/>
      <c r="E132" s="15"/>
      <c r="F132" s="15"/>
      <c r="G132" s="16"/>
      <c r="H132" s="16"/>
      <c r="I132" s="15"/>
      <c r="J132" s="15"/>
      <c r="K132" s="15"/>
      <c r="L132" s="15"/>
      <c r="M132" s="14"/>
      <c r="N132" s="17" t="str">
        <f aca="true">IF(OR(A132="",K132="Ganho",K132="Perdido"),"",TODAY()-IF(M132="",A132,MIN(M132,TODAY())))</f>
        <v/>
      </c>
      <c r="O132" s="15"/>
    </row>
    <row r="133" customFormat="false" ht="15" hidden="false" customHeight="false" outlineLevel="0" collapsed="false">
      <c r="A133" s="14"/>
      <c r="B133" s="15"/>
      <c r="C133" s="15"/>
      <c r="D133" s="15"/>
      <c r="E133" s="15"/>
      <c r="F133" s="15"/>
      <c r="G133" s="16"/>
      <c r="H133" s="16"/>
      <c r="I133" s="15"/>
      <c r="J133" s="15"/>
      <c r="K133" s="15"/>
      <c r="L133" s="15"/>
      <c r="M133" s="14"/>
      <c r="N133" s="17" t="str">
        <f aca="true">IF(OR(A133="",K133="Ganho",K133="Perdido"),"",TODAY()-IF(M133="",A133,MIN(M133,TODAY())))</f>
        <v/>
      </c>
      <c r="O133" s="15"/>
    </row>
    <row r="134" customFormat="false" ht="15" hidden="false" customHeight="false" outlineLevel="0" collapsed="false">
      <c r="A134" s="14"/>
      <c r="B134" s="15"/>
      <c r="C134" s="15"/>
      <c r="D134" s="15"/>
      <c r="E134" s="15"/>
      <c r="F134" s="15"/>
      <c r="G134" s="16"/>
      <c r="H134" s="16"/>
      <c r="I134" s="15"/>
      <c r="J134" s="15"/>
      <c r="K134" s="15"/>
      <c r="L134" s="15"/>
      <c r="M134" s="14"/>
      <c r="N134" s="17" t="str">
        <f aca="true">IF(OR(A134="",K134="Ganho",K134="Perdido"),"",TODAY()-IF(M134="",A134,MIN(M134,TODAY())))</f>
        <v/>
      </c>
      <c r="O134" s="15"/>
    </row>
    <row r="135" customFormat="false" ht="15" hidden="false" customHeight="false" outlineLevel="0" collapsed="false">
      <c r="A135" s="14"/>
      <c r="B135" s="15"/>
      <c r="C135" s="15"/>
      <c r="D135" s="15"/>
      <c r="E135" s="15"/>
      <c r="F135" s="15"/>
      <c r="G135" s="16"/>
      <c r="H135" s="16"/>
      <c r="I135" s="15"/>
      <c r="J135" s="15"/>
      <c r="K135" s="15"/>
      <c r="L135" s="15"/>
      <c r="M135" s="14"/>
      <c r="N135" s="17" t="str">
        <f aca="true">IF(OR(A135="",K135="Ganho",K135="Perdido"),"",TODAY()-IF(M135="",A135,MIN(M135,TODAY())))</f>
        <v/>
      </c>
      <c r="O135" s="15"/>
    </row>
    <row r="136" customFormat="false" ht="15" hidden="false" customHeight="false" outlineLevel="0" collapsed="false">
      <c r="A136" s="14"/>
      <c r="B136" s="15"/>
      <c r="C136" s="15"/>
      <c r="D136" s="15"/>
      <c r="E136" s="15"/>
      <c r="F136" s="15"/>
      <c r="G136" s="16"/>
      <c r="H136" s="16"/>
      <c r="I136" s="15"/>
      <c r="J136" s="15"/>
      <c r="K136" s="15"/>
      <c r="L136" s="15"/>
      <c r="M136" s="14"/>
      <c r="N136" s="17" t="str">
        <f aca="true">IF(OR(A136="",K136="Ganho",K136="Perdido"),"",TODAY()-IF(M136="",A136,MIN(M136,TODAY())))</f>
        <v/>
      </c>
      <c r="O136" s="15"/>
    </row>
    <row r="137" customFormat="false" ht="15" hidden="false" customHeight="false" outlineLevel="0" collapsed="false">
      <c r="A137" s="14"/>
      <c r="B137" s="15"/>
      <c r="C137" s="15"/>
      <c r="D137" s="15"/>
      <c r="E137" s="15"/>
      <c r="F137" s="15"/>
      <c r="G137" s="16"/>
      <c r="H137" s="16"/>
      <c r="I137" s="15"/>
      <c r="J137" s="15"/>
      <c r="K137" s="15"/>
      <c r="L137" s="15"/>
      <c r="M137" s="14"/>
      <c r="N137" s="17" t="str">
        <f aca="true">IF(OR(A137="",K137="Ganho",K137="Perdido"),"",TODAY()-IF(M137="",A137,MIN(M137,TODAY())))</f>
        <v/>
      </c>
      <c r="O137" s="15"/>
    </row>
    <row r="138" customFormat="false" ht="15" hidden="false" customHeight="false" outlineLevel="0" collapsed="false">
      <c r="A138" s="14"/>
      <c r="B138" s="15"/>
      <c r="C138" s="15"/>
      <c r="D138" s="15"/>
      <c r="E138" s="15"/>
      <c r="F138" s="15"/>
      <c r="G138" s="16"/>
      <c r="H138" s="16"/>
      <c r="I138" s="15"/>
      <c r="J138" s="15"/>
      <c r="K138" s="15"/>
      <c r="L138" s="15"/>
      <c r="M138" s="14"/>
      <c r="N138" s="17" t="str">
        <f aca="true">IF(OR(A138="",K138="Ganho",K138="Perdido"),"",TODAY()-IF(M138="",A138,MIN(M138,TODAY())))</f>
        <v/>
      </c>
      <c r="O138" s="15"/>
    </row>
    <row r="139" customFormat="false" ht="15" hidden="false" customHeight="false" outlineLevel="0" collapsed="false">
      <c r="A139" s="14"/>
      <c r="B139" s="15"/>
      <c r="C139" s="15"/>
      <c r="D139" s="15"/>
      <c r="E139" s="15"/>
      <c r="F139" s="15"/>
      <c r="G139" s="16"/>
      <c r="H139" s="16"/>
      <c r="I139" s="15"/>
      <c r="J139" s="15"/>
      <c r="K139" s="15"/>
      <c r="L139" s="15"/>
      <c r="M139" s="14"/>
      <c r="N139" s="17" t="str">
        <f aca="true">IF(OR(A139="",K139="Ganho",K139="Perdido"),"",TODAY()-IF(M139="",A139,MIN(M139,TODAY())))</f>
        <v/>
      </c>
      <c r="O139" s="15"/>
    </row>
    <row r="140" customFormat="false" ht="15" hidden="false" customHeight="false" outlineLevel="0" collapsed="false">
      <c r="A140" s="14"/>
      <c r="B140" s="15"/>
      <c r="C140" s="15"/>
      <c r="D140" s="15"/>
      <c r="E140" s="15"/>
      <c r="F140" s="15"/>
      <c r="G140" s="16"/>
      <c r="H140" s="16"/>
      <c r="I140" s="15"/>
      <c r="J140" s="15"/>
      <c r="K140" s="15"/>
      <c r="L140" s="15"/>
      <c r="M140" s="14"/>
      <c r="N140" s="17" t="str">
        <f aca="true">IF(OR(A140="",K140="Ganho",K140="Perdido"),"",TODAY()-IF(M140="",A140,MIN(M140,TODAY())))</f>
        <v/>
      </c>
      <c r="O140" s="15"/>
    </row>
    <row r="141" customFormat="false" ht="15" hidden="false" customHeight="false" outlineLevel="0" collapsed="false">
      <c r="A141" s="14"/>
      <c r="B141" s="15"/>
      <c r="C141" s="15"/>
      <c r="D141" s="15"/>
      <c r="E141" s="15"/>
      <c r="F141" s="15"/>
      <c r="G141" s="16"/>
      <c r="H141" s="16"/>
      <c r="I141" s="15"/>
      <c r="J141" s="15"/>
      <c r="K141" s="15"/>
      <c r="L141" s="15"/>
      <c r="M141" s="14"/>
      <c r="N141" s="17" t="str">
        <f aca="true">IF(OR(A141="",K141="Ganho",K141="Perdido"),"",TODAY()-IF(M141="",A141,MIN(M141,TODAY())))</f>
        <v/>
      </c>
      <c r="O141" s="15"/>
    </row>
    <row r="142" customFormat="false" ht="15" hidden="false" customHeight="false" outlineLevel="0" collapsed="false">
      <c r="A142" s="14"/>
      <c r="B142" s="15"/>
      <c r="C142" s="15"/>
      <c r="D142" s="15"/>
      <c r="E142" s="15"/>
      <c r="F142" s="15"/>
      <c r="G142" s="16"/>
      <c r="H142" s="16"/>
      <c r="I142" s="15"/>
      <c r="J142" s="15"/>
      <c r="K142" s="15"/>
      <c r="L142" s="15"/>
      <c r="M142" s="14"/>
      <c r="N142" s="17" t="str">
        <f aca="true">IF(OR(A142="",K142="Ganho",K142="Perdido"),"",TODAY()-IF(M142="",A142,MIN(M142,TODAY())))</f>
        <v/>
      </c>
      <c r="O142" s="15"/>
    </row>
    <row r="143" customFormat="false" ht="15" hidden="false" customHeight="false" outlineLevel="0" collapsed="false">
      <c r="A143" s="14"/>
      <c r="B143" s="15"/>
      <c r="C143" s="15"/>
      <c r="D143" s="15"/>
      <c r="E143" s="15"/>
      <c r="F143" s="15"/>
      <c r="G143" s="16"/>
      <c r="H143" s="16"/>
      <c r="I143" s="15"/>
      <c r="J143" s="15"/>
      <c r="K143" s="15"/>
      <c r="L143" s="15"/>
      <c r="M143" s="14"/>
      <c r="N143" s="17" t="str">
        <f aca="true">IF(OR(A143="",K143="Ganho",K143="Perdido"),"",TODAY()-IF(M143="",A143,MIN(M143,TODAY())))</f>
        <v/>
      </c>
      <c r="O143" s="15"/>
    </row>
    <row r="144" customFormat="false" ht="15" hidden="false" customHeight="false" outlineLevel="0" collapsed="false">
      <c r="A144" s="14"/>
      <c r="B144" s="15"/>
      <c r="C144" s="15"/>
      <c r="D144" s="15"/>
      <c r="E144" s="15"/>
      <c r="F144" s="15"/>
      <c r="G144" s="16"/>
      <c r="H144" s="16"/>
      <c r="I144" s="15"/>
      <c r="J144" s="15"/>
      <c r="K144" s="15"/>
      <c r="L144" s="15"/>
      <c r="M144" s="14"/>
      <c r="N144" s="17" t="str">
        <f aca="true">IF(OR(A144="",K144="Ganho",K144="Perdido"),"",TODAY()-IF(M144="",A144,MIN(M144,TODAY())))</f>
        <v/>
      </c>
      <c r="O144" s="15"/>
    </row>
    <row r="145" customFormat="false" ht="15" hidden="false" customHeight="false" outlineLevel="0" collapsed="false">
      <c r="A145" s="14"/>
      <c r="B145" s="15"/>
      <c r="C145" s="15"/>
      <c r="D145" s="15"/>
      <c r="E145" s="15"/>
      <c r="F145" s="15"/>
      <c r="G145" s="16"/>
      <c r="H145" s="16"/>
      <c r="I145" s="15"/>
      <c r="J145" s="15"/>
      <c r="K145" s="15"/>
      <c r="L145" s="15"/>
      <c r="M145" s="14"/>
      <c r="N145" s="17" t="str">
        <f aca="true">IF(OR(A145="",K145="Ganho",K145="Perdido"),"",TODAY()-IF(M145="",A145,MIN(M145,TODAY())))</f>
        <v/>
      </c>
      <c r="O145" s="15"/>
    </row>
    <row r="146" customFormat="false" ht="15" hidden="false" customHeight="false" outlineLevel="0" collapsed="false">
      <c r="A146" s="14"/>
      <c r="B146" s="15"/>
      <c r="C146" s="15"/>
      <c r="D146" s="15"/>
      <c r="E146" s="15"/>
      <c r="F146" s="15"/>
      <c r="G146" s="16"/>
      <c r="H146" s="16"/>
      <c r="I146" s="15"/>
      <c r="J146" s="15"/>
      <c r="K146" s="15"/>
      <c r="L146" s="15"/>
      <c r="M146" s="14"/>
      <c r="N146" s="17" t="str">
        <f aca="true">IF(OR(A146="",K146="Ganho",K146="Perdido"),"",TODAY()-IF(M146="",A146,MIN(M146,TODAY())))</f>
        <v/>
      </c>
      <c r="O146" s="15"/>
    </row>
    <row r="147" customFormat="false" ht="15" hidden="false" customHeight="false" outlineLevel="0" collapsed="false">
      <c r="A147" s="14"/>
      <c r="B147" s="15"/>
      <c r="C147" s="15"/>
      <c r="D147" s="15"/>
      <c r="E147" s="15"/>
      <c r="F147" s="15"/>
      <c r="G147" s="16"/>
      <c r="H147" s="16"/>
      <c r="I147" s="15"/>
      <c r="J147" s="15"/>
      <c r="K147" s="15"/>
      <c r="L147" s="15"/>
      <c r="M147" s="14"/>
      <c r="N147" s="17" t="str">
        <f aca="true">IF(OR(A147="",K147="Ganho",K147="Perdido"),"",TODAY()-IF(M147="",A147,MIN(M147,TODAY())))</f>
        <v/>
      </c>
      <c r="O147" s="15"/>
    </row>
    <row r="148" customFormat="false" ht="15" hidden="false" customHeight="false" outlineLevel="0" collapsed="false">
      <c r="A148" s="14"/>
      <c r="B148" s="15"/>
      <c r="C148" s="15"/>
      <c r="D148" s="15"/>
      <c r="E148" s="15"/>
      <c r="F148" s="15"/>
      <c r="G148" s="16"/>
      <c r="H148" s="16"/>
      <c r="I148" s="15"/>
      <c r="J148" s="15"/>
      <c r="K148" s="15"/>
      <c r="L148" s="15"/>
      <c r="M148" s="14"/>
      <c r="N148" s="17" t="str">
        <f aca="true">IF(OR(A148="",K148="Ganho",K148="Perdido"),"",TODAY()-IF(M148="",A148,MIN(M148,TODAY())))</f>
        <v/>
      </c>
      <c r="O148" s="15"/>
    </row>
    <row r="149" customFormat="false" ht="15" hidden="false" customHeight="false" outlineLevel="0" collapsed="false">
      <c r="A149" s="14"/>
      <c r="B149" s="15"/>
      <c r="C149" s="15"/>
      <c r="D149" s="15"/>
      <c r="E149" s="15"/>
      <c r="F149" s="15"/>
      <c r="G149" s="16"/>
      <c r="H149" s="16"/>
      <c r="I149" s="15"/>
      <c r="J149" s="15"/>
      <c r="K149" s="15"/>
      <c r="L149" s="15"/>
      <c r="M149" s="14"/>
      <c r="N149" s="17" t="str">
        <f aca="true">IF(OR(A149="",K149="Ganho",K149="Perdido"),"",TODAY()-IF(M149="",A149,MIN(M149,TODAY())))</f>
        <v/>
      </c>
      <c r="O149" s="15"/>
    </row>
    <row r="150" customFormat="false" ht="15" hidden="false" customHeight="false" outlineLevel="0" collapsed="false">
      <c r="A150" s="14"/>
      <c r="B150" s="15"/>
      <c r="C150" s="15"/>
      <c r="D150" s="15"/>
      <c r="E150" s="15"/>
      <c r="F150" s="15"/>
      <c r="G150" s="16"/>
      <c r="H150" s="16"/>
      <c r="I150" s="15"/>
      <c r="J150" s="15"/>
      <c r="K150" s="15"/>
      <c r="L150" s="15"/>
      <c r="M150" s="14"/>
      <c r="N150" s="17" t="str">
        <f aca="true">IF(OR(A150="",K150="Ganho",K150="Perdido"),"",TODAY()-IF(M150="",A150,MIN(M150,TODAY())))</f>
        <v/>
      </c>
      <c r="O150" s="15"/>
    </row>
    <row r="151" customFormat="false" ht="15" hidden="false" customHeight="false" outlineLevel="0" collapsed="false">
      <c r="A151" s="14"/>
      <c r="B151" s="15"/>
      <c r="C151" s="15"/>
      <c r="D151" s="15"/>
      <c r="E151" s="15"/>
      <c r="F151" s="15"/>
      <c r="G151" s="16"/>
      <c r="H151" s="16"/>
      <c r="I151" s="15"/>
      <c r="J151" s="15"/>
      <c r="K151" s="15"/>
      <c r="L151" s="15"/>
      <c r="M151" s="14"/>
      <c r="N151" s="17" t="str">
        <f aca="true">IF(OR(A151="",K151="Ganho",K151="Perdido"),"",TODAY()-IF(M151="",A151,MIN(M151,TODAY())))</f>
        <v/>
      </c>
      <c r="O151" s="15"/>
    </row>
    <row r="152" customFormat="false" ht="15" hidden="false" customHeight="false" outlineLevel="0" collapsed="false">
      <c r="A152" s="14"/>
      <c r="B152" s="15"/>
      <c r="C152" s="15"/>
      <c r="D152" s="15"/>
      <c r="E152" s="15"/>
      <c r="F152" s="15"/>
      <c r="G152" s="16"/>
      <c r="H152" s="16"/>
      <c r="I152" s="15"/>
      <c r="J152" s="15"/>
      <c r="K152" s="15"/>
      <c r="L152" s="15"/>
      <c r="M152" s="14"/>
      <c r="N152" s="17" t="str">
        <f aca="true">IF(OR(A152="",K152="Ganho",K152="Perdido"),"",TODAY()-IF(M152="",A152,MIN(M152,TODAY())))</f>
        <v/>
      </c>
      <c r="O152" s="15"/>
    </row>
    <row r="153" customFormat="false" ht="15" hidden="false" customHeight="false" outlineLevel="0" collapsed="false">
      <c r="A153" s="14"/>
      <c r="B153" s="15"/>
      <c r="C153" s="15"/>
      <c r="D153" s="15"/>
      <c r="E153" s="15"/>
      <c r="F153" s="15"/>
      <c r="G153" s="16"/>
      <c r="H153" s="16"/>
      <c r="I153" s="15"/>
      <c r="J153" s="15"/>
      <c r="K153" s="15"/>
      <c r="L153" s="15"/>
      <c r="M153" s="14"/>
      <c r="N153" s="17" t="str">
        <f aca="true">IF(OR(A153="",K153="Ganho",K153="Perdido"),"",TODAY()-IF(M153="",A153,MIN(M153,TODAY())))</f>
        <v/>
      </c>
      <c r="O153" s="15"/>
    </row>
    <row r="154" customFormat="false" ht="15" hidden="false" customHeight="false" outlineLevel="0" collapsed="false">
      <c r="A154" s="14"/>
      <c r="B154" s="15"/>
      <c r="C154" s="15"/>
      <c r="D154" s="15"/>
      <c r="E154" s="15"/>
      <c r="F154" s="15"/>
      <c r="G154" s="16"/>
      <c r="H154" s="16"/>
      <c r="I154" s="15"/>
      <c r="J154" s="15"/>
      <c r="K154" s="15"/>
      <c r="L154" s="15"/>
      <c r="M154" s="14"/>
      <c r="N154" s="17" t="str">
        <f aca="true">IF(OR(A154="",K154="Ganho",K154="Perdido"),"",TODAY()-IF(M154="",A154,MIN(M154,TODAY())))</f>
        <v/>
      </c>
      <c r="O154" s="15"/>
    </row>
    <row r="155" customFormat="false" ht="15" hidden="false" customHeight="false" outlineLevel="0" collapsed="false">
      <c r="A155" s="14"/>
      <c r="B155" s="15"/>
      <c r="C155" s="15"/>
      <c r="D155" s="15"/>
      <c r="E155" s="15"/>
      <c r="F155" s="15"/>
      <c r="G155" s="16"/>
      <c r="H155" s="16"/>
      <c r="I155" s="15"/>
      <c r="J155" s="15"/>
      <c r="K155" s="15"/>
      <c r="L155" s="15"/>
      <c r="M155" s="14"/>
      <c r="N155" s="17" t="str">
        <f aca="true">IF(OR(A155="",K155="Ganho",K155="Perdido"),"",TODAY()-IF(M155="",A155,MIN(M155,TODAY())))</f>
        <v/>
      </c>
      <c r="O155" s="15"/>
    </row>
    <row r="156" customFormat="false" ht="15" hidden="false" customHeight="false" outlineLevel="0" collapsed="false">
      <c r="A156" s="14"/>
      <c r="B156" s="15"/>
      <c r="C156" s="15"/>
      <c r="D156" s="15"/>
      <c r="E156" s="15"/>
      <c r="F156" s="15"/>
      <c r="G156" s="16"/>
      <c r="H156" s="16"/>
      <c r="I156" s="15"/>
      <c r="J156" s="15"/>
      <c r="K156" s="15"/>
      <c r="L156" s="15"/>
      <c r="M156" s="14"/>
      <c r="N156" s="17" t="str">
        <f aca="true">IF(OR(A156="",K156="Ganho",K156="Perdido"),"",TODAY()-IF(M156="",A156,MIN(M156,TODAY())))</f>
        <v/>
      </c>
      <c r="O156" s="15"/>
    </row>
    <row r="157" customFormat="false" ht="15" hidden="false" customHeight="false" outlineLevel="0" collapsed="false">
      <c r="A157" s="14"/>
      <c r="B157" s="15"/>
      <c r="C157" s="15"/>
      <c r="D157" s="15"/>
      <c r="E157" s="15"/>
      <c r="F157" s="15"/>
      <c r="G157" s="16"/>
      <c r="H157" s="16"/>
      <c r="I157" s="15"/>
      <c r="J157" s="15"/>
      <c r="K157" s="15"/>
      <c r="L157" s="15"/>
      <c r="M157" s="14"/>
      <c r="N157" s="17" t="str">
        <f aca="true">IF(OR(A157="",K157="Ganho",K157="Perdido"),"",TODAY()-IF(M157="",A157,MIN(M157,TODAY())))</f>
        <v/>
      </c>
      <c r="O157" s="15"/>
    </row>
    <row r="158" customFormat="false" ht="15" hidden="false" customHeight="false" outlineLevel="0" collapsed="false">
      <c r="A158" s="14"/>
      <c r="B158" s="15"/>
      <c r="C158" s="15"/>
      <c r="D158" s="15"/>
      <c r="E158" s="15"/>
      <c r="F158" s="15"/>
      <c r="G158" s="16"/>
      <c r="H158" s="16"/>
      <c r="I158" s="15"/>
      <c r="J158" s="15"/>
      <c r="K158" s="15"/>
      <c r="L158" s="15"/>
      <c r="M158" s="14"/>
      <c r="N158" s="17" t="str">
        <f aca="true">IF(OR(A158="",K158="Ganho",K158="Perdido"),"",TODAY()-IF(M158="",A158,MIN(M158,TODAY())))</f>
        <v/>
      </c>
      <c r="O158" s="15"/>
    </row>
    <row r="159" customFormat="false" ht="15" hidden="false" customHeight="false" outlineLevel="0" collapsed="false">
      <c r="A159" s="14"/>
      <c r="B159" s="15"/>
      <c r="C159" s="15"/>
      <c r="D159" s="15"/>
      <c r="E159" s="15"/>
      <c r="F159" s="15"/>
      <c r="G159" s="16"/>
      <c r="H159" s="16"/>
      <c r="I159" s="15"/>
      <c r="J159" s="15"/>
      <c r="K159" s="15"/>
      <c r="L159" s="15"/>
      <c r="M159" s="14"/>
      <c r="N159" s="17" t="str">
        <f aca="true">IF(OR(A159="",K159="Ganho",K159="Perdido"),"",TODAY()-IF(M159="",A159,MIN(M159,TODAY())))</f>
        <v/>
      </c>
      <c r="O159" s="15"/>
    </row>
    <row r="160" customFormat="false" ht="15" hidden="false" customHeight="false" outlineLevel="0" collapsed="false">
      <c r="A160" s="14"/>
      <c r="B160" s="15"/>
      <c r="C160" s="15"/>
      <c r="D160" s="15"/>
      <c r="E160" s="15"/>
      <c r="F160" s="15"/>
      <c r="G160" s="16"/>
      <c r="H160" s="16"/>
      <c r="I160" s="15"/>
      <c r="J160" s="15"/>
      <c r="K160" s="15"/>
      <c r="L160" s="15"/>
      <c r="M160" s="14"/>
      <c r="N160" s="17" t="str">
        <f aca="true">IF(OR(A160="",K160="Ganho",K160="Perdido"),"",TODAY()-IF(M160="",A160,MIN(M160,TODAY())))</f>
        <v/>
      </c>
      <c r="O160" s="15"/>
    </row>
    <row r="161" customFormat="false" ht="15" hidden="false" customHeight="false" outlineLevel="0" collapsed="false">
      <c r="A161" s="14"/>
      <c r="B161" s="15"/>
      <c r="C161" s="15"/>
      <c r="D161" s="15"/>
      <c r="E161" s="15"/>
      <c r="F161" s="15"/>
      <c r="G161" s="16"/>
      <c r="H161" s="16"/>
      <c r="I161" s="15"/>
      <c r="J161" s="15"/>
      <c r="K161" s="15"/>
      <c r="L161" s="15"/>
      <c r="M161" s="14"/>
      <c r="N161" s="17" t="str">
        <f aca="true">IF(OR(A161="",K161="Ganho",K161="Perdido"),"",TODAY()-IF(M161="",A161,MIN(M161,TODAY())))</f>
        <v/>
      </c>
      <c r="O161" s="15"/>
    </row>
    <row r="162" customFormat="false" ht="15" hidden="false" customHeight="false" outlineLevel="0" collapsed="false">
      <c r="A162" s="14"/>
      <c r="B162" s="15"/>
      <c r="C162" s="15"/>
      <c r="D162" s="15"/>
      <c r="E162" s="15"/>
      <c r="F162" s="15"/>
      <c r="G162" s="16"/>
      <c r="H162" s="16"/>
      <c r="I162" s="15"/>
      <c r="J162" s="15"/>
      <c r="K162" s="15"/>
      <c r="L162" s="15"/>
      <c r="M162" s="14"/>
      <c r="N162" s="17" t="str">
        <f aca="true">IF(OR(A162="",K162="Ganho",K162="Perdido"),"",TODAY()-IF(M162="",A162,MIN(M162,TODAY())))</f>
        <v/>
      </c>
      <c r="O162" s="15"/>
    </row>
    <row r="163" customFormat="false" ht="15" hidden="false" customHeight="false" outlineLevel="0" collapsed="false">
      <c r="A163" s="14"/>
      <c r="B163" s="15"/>
      <c r="C163" s="15"/>
      <c r="D163" s="15"/>
      <c r="E163" s="15"/>
      <c r="F163" s="15"/>
      <c r="G163" s="16"/>
      <c r="H163" s="16"/>
      <c r="I163" s="15"/>
      <c r="J163" s="15"/>
      <c r="K163" s="15"/>
      <c r="L163" s="15"/>
      <c r="M163" s="14"/>
      <c r="N163" s="17" t="str">
        <f aca="true">IF(OR(A163="",K163="Ganho",K163="Perdido"),"",TODAY()-IF(M163="",A163,MIN(M163,TODAY())))</f>
        <v/>
      </c>
      <c r="O163" s="15"/>
    </row>
    <row r="164" customFormat="false" ht="15" hidden="false" customHeight="false" outlineLevel="0" collapsed="false">
      <c r="A164" s="14"/>
      <c r="B164" s="15"/>
      <c r="C164" s="15"/>
      <c r="D164" s="15"/>
      <c r="E164" s="15"/>
      <c r="F164" s="15"/>
      <c r="G164" s="16"/>
      <c r="H164" s="16"/>
      <c r="I164" s="15"/>
      <c r="J164" s="15"/>
      <c r="K164" s="15"/>
      <c r="L164" s="15"/>
      <c r="M164" s="14"/>
      <c r="N164" s="17" t="str">
        <f aca="true">IF(OR(A164="",K164="Ganho",K164="Perdido"),"",TODAY()-IF(M164="",A164,MIN(M164,TODAY())))</f>
        <v/>
      </c>
      <c r="O164" s="15"/>
    </row>
    <row r="165" customFormat="false" ht="15" hidden="false" customHeight="false" outlineLevel="0" collapsed="false">
      <c r="A165" s="14"/>
      <c r="B165" s="15"/>
      <c r="C165" s="15"/>
      <c r="D165" s="15"/>
      <c r="E165" s="15"/>
      <c r="F165" s="15"/>
      <c r="G165" s="16"/>
      <c r="H165" s="16"/>
      <c r="I165" s="15"/>
      <c r="J165" s="15"/>
      <c r="K165" s="15"/>
      <c r="L165" s="15"/>
      <c r="M165" s="14"/>
      <c r="N165" s="17" t="str">
        <f aca="true">IF(OR(A165="",K165="Ganho",K165="Perdido"),"",TODAY()-IF(M165="",A165,MIN(M165,TODAY())))</f>
        <v/>
      </c>
      <c r="O165" s="15"/>
    </row>
    <row r="166" customFormat="false" ht="15" hidden="false" customHeight="false" outlineLevel="0" collapsed="false">
      <c r="A166" s="14"/>
      <c r="B166" s="15"/>
      <c r="C166" s="15"/>
      <c r="D166" s="15"/>
      <c r="E166" s="15"/>
      <c r="F166" s="15"/>
      <c r="G166" s="16"/>
      <c r="H166" s="16"/>
      <c r="I166" s="15"/>
      <c r="J166" s="15"/>
      <c r="K166" s="15"/>
      <c r="L166" s="15"/>
      <c r="M166" s="14"/>
      <c r="N166" s="17" t="str">
        <f aca="true">IF(OR(A166="",K166="Ganho",K166="Perdido"),"",TODAY()-IF(M166="",A166,MIN(M166,TODAY())))</f>
        <v/>
      </c>
      <c r="O166" s="15"/>
    </row>
    <row r="167" customFormat="false" ht="15" hidden="false" customHeight="false" outlineLevel="0" collapsed="false">
      <c r="A167" s="14"/>
      <c r="B167" s="15"/>
      <c r="C167" s="15"/>
      <c r="D167" s="15"/>
      <c r="E167" s="15"/>
      <c r="F167" s="15"/>
      <c r="G167" s="16"/>
      <c r="H167" s="16"/>
      <c r="I167" s="15"/>
      <c r="J167" s="15"/>
      <c r="K167" s="15"/>
      <c r="L167" s="15"/>
      <c r="M167" s="14"/>
      <c r="N167" s="17" t="str">
        <f aca="true">IF(OR(A167="",K167="Ganho",K167="Perdido"),"",TODAY()-IF(M167="",A167,MIN(M167,TODAY())))</f>
        <v/>
      </c>
      <c r="O167" s="15"/>
    </row>
    <row r="168" customFormat="false" ht="15" hidden="false" customHeight="false" outlineLevel="0" collapsed="false">
      <c r="A168" s="14"/>
      <c r="B168" s="15"/>
      <c r="C168" s="15"/>
      <c r="D168" s="15"/>
      <c r="E168" s="15"/>
      <c r="F168" s="15"/>
      <c r="G168" s="16"/>
      <c r="H168" s="16"/>
      <c r="I168" s="15"/>
      <c r="J168" s="15"/>
      <c r="K168" s="15"/>
      <c r="L168" s="15"/>
      <c r="M168" s="14"/>
      <c r="N168" s="17" t="str">
        <f aca="true">IF(OR(A168="",K168="Ganho",K168="Perdido"),"",TODAY()-IF(M168="",A168,MIN(M168,TODAY())))</f>
        <v/>
      </c>
      <c r="O168" s="15"/>
    </row>
    <row r="169" customFormat="false" ht="15" hidden="false" customHeight="false" outlineLevel="0" collapsed="false">
      <c r="A169" s="14"/>
      <c r="B169" s="15"/>
      <c r="C169" s="15"/>
      <c r="D169" s="15"/>
      <c r="E169" s="15"/>
      <c r="F169" s="15"/>
      <c r="G169" s="16"/>
      <c r="H169" s="16"/>
      <c r="I169" s="15"/>
      <c r="J169" s="15"/>
      <c r="K169" s="15"/>
      <c r="L169" s="15"/>
      <c r="M169" s="14"/>
      <c r="N169" s="17" t="str">
        <f aca="true">IF(OR(A169="",K169="Ganho",K169="Perdido"),"",TODAY()-IF(M169="",A169,MIN(M169,TODAY())))</f>
        <v/>
      </c>
      <c r="O169" s="15"/>
    </row>
    <row r="170" customFormat="false" ht="15" hidden="false" customHeight="false" outlineLevel="0" collapsed="false">
      <c r="A170" s="14"/>
      <c r="B170" s="15"/>
      <c r="C170" s="15"/>
      <c r="D170" s="15"/>
      <c r="E170" s="15"/>
      <c r="F170" s="15"/>
      <c r="G170" s="16"/>
      <c r="H170" s="16"/>
      <c r="I170" s="15"/>
      <c r="J170" s="15"/>
      <c r="K170" s="15"/>
      <c r="L170" s="15"/>
      <c r="M170" s="14"/>
      <c r="N170" s="17" t="str">
        <f aca="true">IF(OR(A170="",K170="Ganho",K170="Perdido"),"",TODAY()-IF(M170="",A170,MIN(M170,TODAY())))</f>
        <v/>
      </c>
      <c r="O170" s="15"/>
    </row>
    <row r="171" customFormat="false" ht="15" hidden="false" customHeight="false" outlineLevel="0" collapsed="false">
      <c r="A171" s="14"/>
      <c r="B171" s="15"/>
      <c r="C171" s="15"/>
      <c r="D171" s="15"/>
      <c r="E171" s="15"/>
      <c r="F171" s="15"/>
      <c r="G171" s="16"/>
      <c r="H171" s="16"/>
      <c r="I171" s="15"/>
      <c r="J171" s="15"/>
      <c r="K171" s="15"/>
      <c r="L171" s="15"/>
      <c r="M171" s="14"/>
      <c r="N171" s="17" t="str">
        <f aca="true">IF(OR(A171="",K171="Ganho",K171="Perdido"),"",TODAY()-IF(M171="",A171,MIN(M171,TODAY())))</f>
        <v/>
      </c>
      <c r="O171" s="15"/>
    </row>
    <row r="172" customFormat="false" ht="15" hidden="false" customHeight="false" outlineLevel="0" collapsed="false">
      <c r="A172" s="14"/>
      <c r="B172" s="15"/>
      <c r="C172" s="15"/>
      <c r="D172" s="15"/>
      <c r="E172" s="15"/>
      <c r="F172" s="15"/>
      <c r="G172" s="16"/>
      <c r="H172" s="16"/>
      <c r="I172" s="15"/>
      <c r="J172" s="15"/>
      <c r="K172" s="15"/>
      <c r="L172" s="15"/>
      <c r="M172" s="14"/>
      <c r="N172" s="17" t="str">
        <f aca="true">IF(OR(A172="",K172="Ganho",K172="Perdido"),"",TODAY()-IF(M172="",A172,MIN(M172,TODAY())))</f>
        <v/>
      </c>
      <c r="O172" s="15"/>
    </row>
    <row r="173" customFormat="false" ht="15" hidden="false" customHeight="false" outlineLevel="0" collapsed="false">
      <c r="A173" s="14"/>
      <c r="B173" s="15"/>
      <c r="C173" s="15"/>
      <c r="D173" s="15"/>
      <c r="E173" s="15"/>
      <c r="F173" s="15"/>
      <c r="G173" s="16"/>
      <c r="H173" s="16"/>
      <c r="I173" s="15"/>
      <c r="J173" s="15"/>
      <c r="K173" s="15"/>
      <c r="L173" s="15"/>
      <c r="M173" s="14"/>
      <c r="N173" s="17" t="str">
        <f aca="true">IF(OR(A173="",K173="Ganho",K173="Perdido"),"",TODAY()-IF(M173="",A173,MIN(M173,TODAY())))</f>
        <v/>
      </c>
      <c r="O173" s="15"/>
    </row>
    <row r="174" customFormat="false" ht="15" hidden="false" customHeight="false" outlineLevel="0" collapsed="false">
      <c r="A174" s="14"/>
      <c r="B174" s="15"/>
      <c r="C174" s="15"/>
      <c r="D174" s="15"/>
      <c r="E174" s="15"/>
      <c r="F174" s="15"/>
      <c r="G174" s="16"/>
      <c r="H174" s="16"/>
      <c r="I174" s="15"/>
      <c r="J174" s="15"/>
      <c r="K174" s="15"/>
      <c r="L174" s="15"/>
      <c r="M174" s="14"/>
      <c r="N174" s="17" t="str">
        <f aca="true">IF(OR(A174="",K174="Ganho",K174="Perdido"),"",TODAY()-IF(M174="",A174,MIN(M174,TODAY())))</f>
        <v/>
      </c>
      <c r="O174" s="15"/>
    </row>
    <row r="175" customFormat="false" ht="15" hidden="false" customHeight="false" outlineLevel="0" collapsed="false">
      <c r="A175" s="14"/>
      <c r="B175" s="15"/>
      <c r="C175" s="15"/>
      <c r="D175" s="15"/>
      <c r="E175" s="15"/>
      <c r="F175" s="15"/>
      <c r="G175" s="16"/>
      <c r="H175" s="16"/>
      <c r="I175" s="15"/>
      <c r="J175" s="15"/>
      <c r="K175" s="15"/>
      <c r="L175" s="15"/>
      <c r="M175" s="14"/>
      <c r="N175" s="17" t="str">
        <f aca="true">IF(OR(A175="",K175="Ganho",K175="Perdido"),"",TODAY()-IF(M175="",A175,MIN(M175,TODAY())))</f>
        <v/>
      </c>
      <c r="O175" s="15"/>
    </row>
    <row r="176" customFormat="false" ht="15" hidden="false" customHeight="false" outlineLevel="0" collapsed="false">
      <c r="A176" s="14"/>
      <c r="B176" s="15"/>
      <c r="C176" s="15"/>
      <c r="D176" s="15"/>
      <c r="E176" s="15"/>
      <c r="F176" s="15"/>
      <c r="G176" s="16"/>
      <c r="H176" s="16"/>
      <c r="I176" s="15"/>
      <c r="J176" s="15"/>
      <c r="K176" s="15"/>
      <c r="L176" s="15"/>
      <c r="M176" s="14"/>
      <c r="N176" s="17" t="str">
        <f aca="true">IF(OR(A176="",K176="Ganho",K176="Perdido"),"",TODAY()-IF(M176="",A176,MIN(M176,TODAY())))</f>
        <v/>
      </c>
      <c r="O176" s="15"/>
    </row>
    <row r="177" customFormat="false" ht="15" hidden="false" customHeight="false" outlineLevel="0" collapsed="false">
      <c r="A177" s="14"/>
      <c r="B177" s="15"/>
      <c r="C177" s="15"/>
      <c r="D177" s="15"/>
      <c r="E177" s="15"/>
      <c r="F177" s="15"/>
      <c r="G177" s="16"/>
      <c r="H177" s="16"/>
      <c r="I177" s="15"/>
      <c r="J177" s="15"/>
      <c r="K177" s="15"/>
      <c r="L177" s="15"/>
      <c r="M177" s="14"/>
      <c r="N177" s="17" t="str">
        <f aca="true">IF(OR(A177="",K177="Ganho",K177="Perdido"),"",TODAY()-IF(M177="",A177,MIN(M177,TODAY())))</f>
        <v/>
      </c>
      <c r="O177" s="15"/>
    </row>
    <row r="178" customFormat="false" ht="15" hidden="false" customHeight="false" outlineLevel="0" collapsed="false">
      <c r="A178" s="14"/>
      <c r="B178" s="15"/>
      <c r="C178" s="15"/>
      <c r="D178" s="15"/>
      <c r="E178" s="15"/>
      <c r="F178" s="15"/>
      <c r="G178" s="16"/>
      <c r="H178" s="16"/>
      <c r="I178" s="15"/>
      <c r="J178" s="15"/>
      <c r="K178" s="15"/>
      <c r="L178" s="15"/>
      <c r="M178" s="14"/>
      <c r="N178" s="17" t="str">
        <f aca="true">IF(OR(A178="",K178="Ganho",K178="Perdido"),"",TODAY()-IF(M178="",A178,MIN(M178,TODAY())))</f>
        <v/>
      </c>
      <c r="O178" s="15"/>
    </row>
    <row r="179" customFormat="false" ht="15" hidden="false" customHeight="false" outlineLevel="0" collapsed="false">
      <c r="A179" s="14"/>
      <c r="B179" s="15"/>
      <c r="C179" s="15"/>
      <c r="D179" s="15"/>
      <c r="E179" s="15"/>
      <c r="F179" s="15"/>
      <c r="G179" s="16"/>
      <c r="H179" s="16"/>
      <c r="I179" s="15"/>
      <c r="J179" s="15"/>
      <c r="K179" s="15"/>
      <c r="L179" s="15"/>
      <c r="M179" s="14"/>
      <c r="N179" s="17" t="str">
        <f aca="true">IF(OR(A179="",K179="Ganho",K179="Perdido"),"",TODAY()-IF(M179="",A179,MIN(M179,TODAY())))</f>
        <v/>
      </c>
      <c r="O179" s="15"/>
    </row>
    <row r="180" customFormat="false" ht="15" hidden="false" customHeight="false" outlineLevel="0" collapsed="false">
      <c r="A180" s="14"/>
      <c r="B180" s="15"/>
      <c r="C180" s="15"/>
      <c r="D180" s="15"/>
      <c r="E180" s="15"/>
      <c r="F180" s="15"/>
      <c r="G180" s="16"/>
      <c r="H180" s="16"/>
      <c r="I180" s="15"/>
      <c r="J180" s="15"/>
      <c r="K180" s="15"/>
      <c r="L180" s="15"/>
      <c r="M180" s="14"/>
      <c r="N180" s="17" t="str">
        <f aca="true">IF(OR(A180="",K180="Ganho",K180="Perdido"),"",TODAY()-IF(M180="",A180,MIN(M180,TODAY())))</f>
        <v/>
      </c>
      <c r="O180" s="15"/>
    </row>
    <row r="181" customFormat="false" ht="15" hidden="false" customHeight="false" outlineLevel="0" collapsed="false">
      <c r="A181" s="14"/>
      <c r="B181" s="15"/>
      <c r="C181" s="15"/>
      <c r="D181" s="15"/>
      <c r="E181" s="15"/>
      <c r="F181" s="15"/>
      <c r="G181" s="16"/>
      <c r="H181" s="16"/>
      <c r="I181" s="15"/>
      <c r="J181" s="15"/>
      <c r="K181" s="15"/>
      <c r="L181" s="15"/>
      <c r="M181" s="14"/>
      <c r="N181" s="17" t="str">
        <f aca="true">IF(OR(A181="",K181="Ganho",K181="Perdido"),"",TODAY()-IF(M181="",A181,MIN(M181,TODAY())))</f>
        <v/>
      </c>
      <c r="O181" s="15"/>
    </row>
    <row r="182" customFormat="false" ht="15" hidden="false" customHeight="false" outlineLevel="0" collapsed="false">
      <c r="A182" s="14"/>
      <c r="B182" s="15"/>
      <c r="C182" s="15"/>
      <c r="D182" s="15"/>
      <c r="E182" s="15"/>
      <c r="F182" s="15"/>
      <c r="G182" s="16"/>
      <c r="H182" s="16"/>
      <c r="I182" s="15"/>
      <c r="J182" s="15"/>
      <c r="K182" s="15"/>
      <c r="L182" s="15"/>
      <c r="M182" s="14"/>
      <c r="N182" s="17" t="str">
        <f aca="true">IF(OR(A182="",K182="Ganho",K182="Perdido"),"",TODAY()-IF(M182="",A182,MIN(M182,TODAY())))</f>
        <v/>
      </c>
      <c r="O182" s="15"/>
    </row>
    <row r="183" customFormat="false" ht="15" hidden="false" customHeight="false" outlineLevel="0" collapsed="false">
      <c r="A183" s="14"/>
      <c r="B183" s="15"/>
      <c r="C183" s="15"/>
      <c r="D183" s="15"/>
      <c r="E183" s="15"/>
      <c r="F183" s="15"/>
      <c r="G183" s="16"/>
      <c r="H183" s="16"/>
      <c r="I183" s="15"/>
      <c r="J183" s="15"/>
      <c r="K183" s="15"/>
      <c r="L183" s="15"/>
      <c r="M183" s="14"/>
      <c r="N183" s="17" t="str">
        <f aca="true">IF(OR(A183="",K183="Ganho",K183="Perdido"),"",TODAY()-IF(M183="",A183,MIN(M183,TODAY())))</f>
        <v/>
      </c>
      <c r="O183" s="15"/>
    </row>
    <row r="184" customFormat="false" ht="15" hidden="false" customHeight="false" outlineLevel="0" collapsed="false">
      <c r="A184" s="14"/>
      <c r="B184" s="15"/>
      <c r="C184" s="15"/>
      <c r="D184" s="15"/>
      <c r="E184" s="15"/>
      <c r="F184" s="15"/>
      <c r="G184" s="16"/>
      <c r="H184" s="16"/>
      <c r="I184" s="15"/>
      <c r="J184" s="15"/>
      <c r="K184" s="15"/>
      <c r="L184" s="15"/>
      <c r="M184" s="14"/>
      <c r="N184" s="17" t="str">
        <f aca="true">IF(OR(A184="",K184="Ganho",K184="Perdido"),"",TODAY()-IF(M184="",A184,MIN(M184,TODAY())))</f>
        <v/>
      </c>
      <c r="O184" s="15"/>
    </row>
    <row r="185" customFormat="false" ht="15" hidden="false" customHeight="false" outlineLevel="0" collapsed="false">
      <c r="A185" s="14"/>
      <c r="B185" s="15"/>
      <c r="C185" s="15"/>
      <c r="D185" s="15"/>
      <c r="E185" s="15"/>
      <c r="F185" s="15"/>
      <c r="G185" s="16"/>
      <c r="H185" s="16"/>
      <c r="I185" s="15"/>
      <c r="J185" s="15"/>
      <c r="K185" s="15"/>
      <c r="L185" s="15"/>
      <c r="M185" s="14"/>
      <c r="N185" s="17" t="str">
        <f aca="true">IF(OR(A185="",K185="Ganho",K185="Perdido"),"",TODAY()-IF(M185="",A185,MIN(M185,TODAY())))</f>
        <v/>
      </c>
      <c r="O185" s="15"/>
    </row>
    <row r="186" customFormat="false" ht="15" hidden="false" customHeight="false" outlineLevel="0" collapsed="false">
      <c r="A186" s="14"/>
      <c r="B186" s="15"/>
      <c r="C186" s="15"/>
      <c r="D186" s="15"/>
      <c r="E186" s="15"/>
      <c r="F186" s="15"/>
      <c r="G186" s="16"/>
      <c r="H186" s="16"/>
      <c r="I186" s="15"/>
      <c r="J186" s="15"/>
      <c r="K186" s="15"/>
      <c r="L186" s="15"/>
      <c r="M186" s="14"/>
      <c r="N186" s="17" t="str">
        <f aca="true">IF(OR(A186="",K186="Ganho",K186="Perdido"),"",TODAY()-IF(M186="",A186,MIN(M186,TODAY())))</f>
        <v/>
      </c>
      <c r="O186" s="15"/>
    </row>
    <row r="187" customFormat="false" ht="15" hidden="false" customHeight="false" outlineLevel="0" collapsed="false">
      <c r="A187" s="14"/>
      <c r="B187" s="15"/>
      <c r="C187" s="15"/>
      <c r="D187" s="15"/>
      <c r="E187" s="15"/>
      <c r="F187" s="15"/>
      <c r="G187" s="16"/>
      <c r="H187" s="16"/>
      <c r="I187" s="15"/>
      <c r="J187" s="15"/>
      <c r="K187" s="15"/>
      <c r="L187" s="15"/>
      <c r="M187" s="14"/>
      <c r="N187" s="17" t="str">
        <f aca="true">IF(OR(A187="",K187="Ganho",K187="Perdido"),"",TODAY()-IF(M187="",A187,MIN(M187,TODAY())))</f>
        <v/>
      </c>
      <c r="O187" s="15"/>
    </row>
    <row r="188" customFormat="false" ht="15" hidden="false" customHeight="false" outlineLevel="0" collapsed="false">
      <c r="A188" s="14"/>
      <c r="B188" s="15"/>
      <c r="C188" s="15"/>
      <c r="D188" s="15"/>
      <c r="E188" s="15"/>
      <c r="F188" s="15"/>
      <c r="G188" s="16"/>
      <c r="H188" s="16"/>
      <c r="I188" s="15"/>
      <c r="J188" s="15"/>
      <c r="K188" s="15"/>
      <c r="L188" s="15"/>
      <c r="M188" s="14"/>
      <c r="N188" s="17" t="str">
        <f aca="true">IF(OR(A188="",K188="Ganho",K188="Perdido"),"",TODAY()-IF(M188="",A188,MIN(M188,TODAY())))</f>
        <v/>
      </c>
      <c r="O188" s="15"/>
    </row>
    <row r="189" customFormat="false" ht="15" hidden="false" customHeight="false" outlineLevel="0" collapsed="false">
      <c r="A189" s="14"/>
      <c r="B189" s="15"/>
      <c r="C189" s="15"/>
      <c r="D189" s="15"/>
      <c r="E189" s="15"/>
      <c r="F189" s="15"/>
      <c r="G189" s="16"/>
      <c r="H189" s="16"/>
      <c r="I189" s="15"/>
      <c r="J189" s="15"/>
      <c r="K189" s="15"/>
      <c r="L189" s="15"/>
      <c r="M189" s="14"/>
      <c r="N189" s="17" t="str">
        <f aca="true">IF(OR(A189="",K189="Ganho",K189="Perdido"),"",TODAY()-IF(M189="",A189,MIN(M189,TODAY())))</f>
        <v/>
      </c>
      <c r="O189" s="15"/>
    </row>
    <row r="190" customFormat="false" ht="15" hidden="false" customHeight="false" outlineLevel="0" collapsed="false">
      <c r="A190" s="14"/>
      <c r="B190" s="15"/>
      <c r="C190" s="15"/>
      <c r="D190" s="15"/>
      <c r="E190" s="15"/>
      <c r="F190" s="15"/>
      <c r="G190" s="16"/>
      <c r="H190" s="16"/>
      <c r="I190" s="15"/>
      <c r="J190" s="15"/>
      <c r="K190" s="15"/>
      <c r="L190" s="15"/>
      <c r="M190" s="14"/>
      <c r="N190" s="17" t="str">
        <f aca="true">IF(OR(A190="",K190="Ganho",K190="Perdido"),"",TODAY()-IF(M190="",A190,MIN(M190,TODAY())))</f>
        <v/>
      </c>
      <c r="O190" s="15"/>
    </row>
    <row r="191" customFormat="false" ht="15" hidden="false" customHeight="false" outlineLevel="0" collapsed="false">
      <c r="A191" s="14"/>
      <c r="B191" s="15"/>
      <c r="C191" s="15"/>
      <c r="D191" s="15"/>
      <c r="E191" s="15"/>
      <c r="F191" s="15"/>
      <c r="G191" s="16"/>
      <c r="H191" s="16"/>
      <c r="I191" s="15"/>
      <c r="J191" s="15"/>
      <c r="K191" s="15"/>
      <c r="L191" s="15"/>
      <c r="M191" s="14"/>
      <c r="N191" s="17" t="str">
        <f aca="true">IF(OR(A191="",K191="Ganho",K191="Perdido"),"",TODAY()-IF(M191="",A191,MIN(M191,TODAY())))</f>
        <v/>
      </c>
      <c r="O191" s="15"/>
    </row>
    <row r="192" customFormat="false" ht="15" hidden="false" customHeight="false" outlineLevel="0" collapsed="false">
      <c r="A192" s="14"/>
      <c r="B192" s="15"/>
      <c r="C192" s="15"/>
      <c r="D192" s="15"/>
      <c r="E192" s="15"/>
      <c r="F192" s="15"/>
      <c r="G192" s="16"/>
      <c r="H192" s="16"/>
      <c r="I192" s="15"/>
      <c r="J192" s="15"/>
      <c r="K192" s="15"/>
      <c r="L192" s="15"/>
      <c r="M192" s="14"/>
      <c r="N192" s="17" t="str">
        <f aca="true">IF(OR(A192="",K192="Ganho",K192="Perdido"),"",TODAY()-IF(M192="",A192,MIN(M192,TODAY())))</f>
        <v/>
      </c>
      <c r="O192" s="15"/>
    </row>
    <row r="193" customFormat="false" ht="15" hidden="false" customHeight="false" outlineLevel="0" collapsed="false">
      <c r="A193" s="14"/>
      <c r="B193" s="15"/>
      <c r="C193" s="15"/>
      <c r="D193" s="15"/>
      <c r="E193" s="15"/>
      <c r="F193" s="15"/>
      <c r="G193" s="16"/>
      <c r="H193" s="16"/>
      <c r="I193" s="15"/>
      <c r="J193" s="15"/>
      <c r="K193" s="15"/>
      <c r="L193" s="15"/>
      <c r="M193" s="14"/>
      <c r="N193" s="17" t="str">
        <f aca="true">IF(OR(A193="",K193="Ganho",K193="Perdido"),"",TODAY()-IF(M193="",A193,MIN(M193,TODAY())))</f>
        <v/>
      </c>
      <c r="O193" s="15"/>
    </row>
    <row r="194" customFormat="false" ht="15" hidden="false" customHeight="false" outlineLevel="0" collapsed="false">
      <c r="A194" s="14"/>
      <c r="B194" s="15"/>
      <c r="C194" s="15"/>
      <c r="D194" s="15"/>
      <c r="E194" s="15"/>
      <c r="F194" s="15"/>
      <c r="G194" s="16"/>
      <c r="H194" s="16"/>
      <c r="I194" s="15"/>
      <c r="J194" s="15"/>
      <c r="K194" s="15"/>
      <c r="L194" s="15"/>
      <c r="M194" s="14"/>
      <c r="N194" s="17" t="str">
        <f aca="true">IF(OR(A194="",K194="Ganho",K194="Perdido"),"",TODAY()-IF(M194="",A194,MIN(M194,TODAY())))</f>
        <v/>
      </c>
      <c r="O194" s="15"/>
    </row>
    <row r="195" customFormat="false" ht="15" hidden="false" customHeight="false" outlineLevel="0" collapsed="false">
      <c r="A195" s="14"/>
      <c r="B195" s="15"/>
      <c r="C195" s="15"/>
      <c r="D195" s="15"/>
      <c r="E195" s="15"/>
      <c r="F195" s="15"/>
      <c r="G195" s="16"/>
      <c r="H195" s="16"/>
      <c r="I195" s="15"/>
      <c r="J195" s="15"/>
      <c r="K195" s="15"/>
      <c r="L195" s="15"/>
      <c r="M195" s="14"/>
      <c r="N195" s="17" t="str">
        <f aca="true">IF(OR(A195="",K195="Ganho",K195="Perdido"),"",TODAY()-IF(M195="",A195,MIN(M195,TODAY())))</f>
        <v/>
      </c>
      <c r="O195" s="15"/>
    </row>
    <row r="196" customFormat="false" ht="15" hidden="false" customHeight="false" outlineLevel="0" collapsed="false">
      <c r="A196" s="14"/>
      <c r="B196" s="15"/>
      <c r="C196" s="15"/>
      <c r="D196" s="15"/>
      <c r="E196" s="15"/>
      <c r="F196" s="15"/>
      <c r="G196" s="16"/>
      <c r="H196" s="16"/>
      <c r="I196" s="15"/>
      <c r="J196" s="15"/>
      <c r="K196" s="15"/>
      <c r="L196" s="15"/>
      <c r="M196" s="14"/>
      <c r="N196" s="17" t="str">
        <f aca="true">IF(OR(A196="",K196="Ganho",K196="Perdido"),"",TODAY()-IF(M196="",A196,MIN(M196,TODAY())))</f>
        <v/>
      </c>
      <c r="O196" s="15"/>
    </row>
    <row r="197" customFormat="false" ht="15" hidden="false" customHeight="false" outlineLevel="0" collapsed="false">
      <c r="A197" s="14"/>
      <c r="B197" s="15"/>
      <c r="C197" s="15"/>
      <c r="D197" s="15"/>
      <c r="E197" s="15"/>
      <c r="F197" s="15"/>
      <c r="G197" s="16"/>
      <c r="H197" s="16"/>
      <c r="I197" s="15"/>
      <c r="J197" s="15"/>
      <c r="K197" s="15"/>
      <c r="L197" s="15"/>
      <c r="M197" s="14"/>
      <c r="N197" s="17" t="str">
        <f aca="true">IF(OR(A197="",K197="Ganho",K197="Perdido"),"",TODAY()-IF(M197="",A197,MIN(M197,TODAY())))</f>
        <v/>
      </c>
      <c r="O197" s="15"/>
    </row>
    <row r="198" customFormat="false" ht="15" hidden="false" customHeight="false" outlineLevel="0" collapsed="false">
      <c r="A198" s="14"/>
      <c r="B198" s="15"/>
      <c r="C198" s="15"/>
      <c r="D198" s="15"/>
      <c r="E198" s="15"/>
      <c r="F198" s="15"/>
      <c r="G198" s="16"/>
      <c r="H198" s="16"/>
      <c r="I198" s="15"/>
      <c r="J198" s="15"/>
      <c r="K198" s="15"/>
      <c r="L198" s="15"/>
      <c r="M198" s="14"/>
      <c r="N198" s="17" t="str">
        <f aca="true">IF(OR(A198="",K198="Ganho",K198="Perdido"),"",TODAY()-IF(M198="",A198,MIN(M198,TODAY())))</f>
        <v/>
      </c>
      <c r="O198" s="15"/>
    </row>
    <row r="199" customFormat="false" ht="15" hidden="false" customHeight="false" outlineLevel="0" collapsed="false">
      <c r="A199" s="14"/>
      <c r="B199" s="15"/>
      <c r="C199" s="15"/>
      <c r="D199" s="15"/>
      <c r="E199" s="15"/>
      <c r="F199" s="15"/>
      <c r="G199" s="16"/>
      <c r="H199" s="16"/>
      <c r="I199" s="15"/>
      <c r="J199" s="15"/>
      <c r="K199" s="15"/>
      <c r="L199" s="15"/>
      <c r="M199" s="14"/>
      <c r="N199" s="17" t="str">
        <f aca="true">IF(OR(A199="",K199="Ganho",K199="Perdido"),"",TODAY()-IF(M199="",A199,MIN(M199,TODAY())))</f>
        <v/>
      </c>
      <c r="O199" s="15"/>
    </row>
    <row r="200" customFormat="false" ht="15" hidden="false" customHeight="false" outlineLevel="0" collapsed="false">
      <c r="A200" s="14"/>
      <c r="B200" s="15"/>
      <c r="C200" s="15"/>
      <c r="D200" s="15"/>
      <c r="E200" s="15"/>
      <c r="F200" s="15"/>
      <c r="G200" s="16"/>
      <c r="H200" s="16"/>
      <c r="I200" s="15"/>
      <c r="J200" s="15"/>
      <c r="K200" s="15"/>
      <c r="L200" s="15"/>
      <c r="M200" s="14"/>
      <c r="N200" s="17" t="str">
        <f aca="true">IF(OR(A200="",K200="Ganho",K200="Perdido"),"",TODAY()-IF(M200="",A200,MIN(M200,TODAY())))</f>
        <v/>
      </c>
      <c r="O200" s="15"/>
    </row>
    <row r="201" customFormat="false" ht="15" hidden="false" customHeight="false" outlineLevel="0" collapsed="false">
      <c r="A201" s="14"/>
      <c r="B201" s="15"/>
      <c r="C201" s="15"/>
      <c r="D201" s="15"/>
      <c r="E201" s="15"/>
      <c r="F201" s="15"/>
      <c r="G201" s="16"/>
      <c r="H201" s="16"/>
      <c r="I201" s="15"/>
      <c r="J201" s="15"/>
      <c r="K201" s="15"/>
      <c r="L201" s="15"/>
      <c r="M201" s="14"/>
      <c r="N201" s="17" t="str">
        <f aca="true">IF(OR(A201="",K201="Ganho",K201="Perdido"),"",TODAY()-IF(M201="",A201,MIN(M201,TODAY())))</f>
        <v/>
      </c>
      <c r="O201" s="15"/>
    </row>
  </sheetData>
  <autoFilter ref="A1:O201"/>
  <conditionalFormatting sqref="M2:M201">
    <cfRule type="expression" priority="2" aboveAverage="0" equalAverage="0" bottom="0" percent="0" rank="0" text="" dxfId="5">
      <formula>AND(M2&lt;&gt;"",M2&lt;=TODAY(),$K2&lt;&gt;"Ganho",$K2&lt;&gt;"Perdido")</formula>
    </cfRule>
  </conditionalFormatting>
  <dataValidations count="3">
    <dataValidation allowBlank="true" error="Escolha um valor da lista" errorStyle="stop" operator="between" showDropDown="false" showErrorMessage="false" showInputMessage="false" sqref="F2:F201" type="list">
      <formula1>"Site,WhatsApp,E-mail,Indicação,Rede pessoal,Vaga DevOps,Comunidade,Blog,Outro"</formula1>
      <formula2>0</formula2>
    </dataValidation>
    <dataValidation allowBlank="true" error="Escolha um valor da lista" errorStyle="stop" operator="between" showDropDown="false" showErrorMessage="false" showInputMessage="false" sqref="K2:K201" type="list">
      <formula1>"Novo,Respondido,Kit enviado,Instalado,Piloto,Proposta,Ganho,Perdido,Frio"</formula1>
      <formula2>0</formula2>
    </dataValidation>
    <dataValidation allowBlank="true" error="Escolha um valor da lista" errorStyle="stop" operator="between" showDropDown="false" showErrorMessage="false" showInputMessage="false" sqref="I2:I201" type="list">
      <formula1>"AWS,Azure,GCP,OCI,Provedor nacional,On-premises,Outro"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1" min="10" style="0" width="9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9" t="s">
        <v>28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  <c r="L1" s="9" t="s">
        <v>60</v>
      </c>
      <c r="M1" s="9" t="s">
        <v>61</v>
      </c>
      <c r="N1" s="9" t="s">
        <v>62</v>
      </c>
      <c r="O1" s="9" t="s">
        <v>63</v>
      </c>
      <c r="P1" s="9" t="s">
        <v>36</v>
      </c>
      <c r="Q1" s="9" t="s">
        <v>64</v>
      </c>
    </row>
    <row r="2" customFormat="false" ht="15" hidden="false" customHeight="false" outlineLevel="0" collapsed="false">
      <c r="A2" s="11" t="s">
        <v>42</v>
      </c>
      <c r="B2" s="11" t="s">
        <v>65</v>
      </c>
      <c r="C2" s="11" t="s">
        <v>66</v>
      </c>
      <c r="D2" s="10" t="n">
        <v>46322</v>
      </c>
      <c r="E2" s="10" t="n">
        <v>46323</v>
      </c>
      <c r="F2" s="18" t="n">
        <f aca="false">IF(E2="","",E2+30)</f>
        <v>46353</v>
      </c>
      <c r="G2" s="18" t="n">
        <f aca="false">IF(D2="","",D2+45)</f>
        <v>46367</v>
      </c>
      <c r="H2" s="13" t="n">
        <f aca="true">IF(G2="","",G2-TODAY())</f>
        <v>45</v>
      </c>
      <c r="I2" s="19" t="str">
        <f aca="false">IF(H2="","",IF(OR(P2="Ganho",P2="Perdido"),IF(H2&gt;=0,"Revogar o token",""),IF(H2&lt;0,"Token vencido",IF(H2&lt;=7,"Token vence em breve",""))))</f>
        <v/>
      </c>
      <c r="J2" s="12" t="n">
        <v>61</v>
      </c>
      <c r="K2" s="12" t="n">
        <v>1</v>
      </c>
      <c r="L2" s="18" t="n">
        <f aca="false">IF(E2="","",E2+7)</f>
        <v>46330</v>
      </c>
      <c r="M2" s="18" t="n">
        <f aca="false">IF(E2="","",E2+21)</f>
        <v>46344</v>
      </c>
      <c r="N2" s="11" t="s">
        <v>67</v>
      </c>
      <c r="O2" s="20" t="n">
        <v>1890</v>
      </c>
      <c r="P2" s="11" t="s">
        <v>13</v>
      </c>
      <c r="Q2" s="11"/>
    </row>
    <row r="3" customFormat="false" ht="15" hidden="false" customHeight="false" outlineLevel="0" collapsed="false">
      <c r="A3" s="15"/>
      <c r="B3" s="15"/>
      <c r="C3" s="15"/>
      <c r="D3" s="14"/>
      <c r="E3" s="14"/>
      <c r="F3" s="21" t="str">
        <f aca="false">IF(E3="","",E3+30)</f>
        <v/>
      </c>
      <c r="G3" s="21" t="str">
        <f aca="false">IF(D3="","",D3+45)</f>
        <v/>
      </c>
      <c r="H3" s="17" t="str">
        <f aca="true">IF(G3="","",G3-TODAY())</f>
        <v/>
      </c>
      <c r="I3" s="22" t="str">
        <f aca="false">IF(H3="","",IF(OR(P3="Ganho",P3="Perdido"),IF(H3&gt;=0,"Revogar o token",""),IF(H3&lt;0,"Token vencido",IF(H3&lt;=7,"Token vence em breve",""))))</f>
        <v/>
      </c>
      <c r="J3" s="16"/>
      <c r="K3" s="16"/>
      <c r="L3" s="21" t="str">
        <f aca="false">IF(E3="","",E3+7)</f>
        <v/>
      </c>
      <c r="M3" s="21" t="str">
        <f aca="false">IF(E3="","",E3+21)</f>
        <v/>
      </c>
      <c r="N3" s="15"/>
      <c r="O3" s="23"/>
      <c r="P3" s="15"/>
      <c r="Q3" s="15"/>
    </row>
    <row r="4" customFormat="false" ht="15" hidden="false" customHeight="false" outlineLevel="0" collapsed="false">
      <c r="A4" s="15"/>
      <c r="B4" s="15"/>
      <c r="C4" s="15"/>
      <c r="D4" s="14"/>
      <c r="E4" s="14"/>
      <c r="F4" s="21" t="str">
        <f aca="false">IF(E4="","",E4+30)</f>
        <v/>
      </c>
      <c r="G4" s="21" t="str">
        <f aca="false">IF(D4="","",D4+45)</f>
        <v/>
      </c>
      <c r="H4" s="17" t="str">
        <f aca="true">IF(G4="","",G4-TODAY())</f>
        <v/>
      </c>
      <c r="I4" s="22" t="str">
        <f aca="false">IF(H4="","",IF(OR(P4="Ganho",P4="Perdido"),IF(H4&gt;=0,"Revogar o token",""),IF(H4&lt;0,"Token vencido",IF(H4&lt;=7,"Token vence em breve",""))))</f>
        <v/>
      </c>
      <c r="J4" s="16"/>
      <c r="K4" s="16"/>
      <c r="L4" s="21" t="str">
        <f aca="false">IF(E4="","",E4+7)</f>
        <v/>
      </c>
      <c r="M4" s="21" t="str">
        <f aca="false">IF(E4="","",E4+21)</f>
        <v/>
      </c>
      <c r="N4" s="15"/>
      <c r="O4" s="23"/>
      <c r="P4" s="15"/>
      <c r="Q4" s="15"/>
    </row>
    <row r="5" customFormat="false" ht="15" hidden="false" customHeight="false" outlineLevel="0" collapsed="false">
      <c r="A5" s="15"/>
      <c r="B5" s="15"/>
      <c r="C5" s="15"/>
      <c r="D5" s="14"/>
      <c r="E5" s="14"/>
      <c r="F5" s="21" t="str">
        <f aca="false">IF(E5="","",E5+30)</f>
        <v/>
      </c>
      <c r="G5" s="21" t="str">
        <f aca="false">IF(D5="","",D5+45)</f>
        <v/>
      </c>
      <c r="H5" s="17" t="str">
        <f aca="true">IF(G5="","",G5-TODAY())</f>
        <v/>
      </c>
      <c r="I5" s="22" t="str">
        <f aca="false">IF(H5="","",IF(OR(P5="Ganho",P5="Perdido"),IF(H5&gt;=0,"Revogar o token",""),IF(H5&lt;0,"Token vencido",IF(H5&lt;=7,"Token vence em breve",""))))</f>
        <v/>
      </c>
      <c r="J5" s="16"/>
      <c r="K5" s="16"/>
      <c r="L5" s="21" t="str">
        <f aca="false">IF(E5="","",E5+7)</f>
        <v/>
      </c>
      <c r="M5" s="21" t="str">
        <f aca="false">IF(E5="","",E5+21)</f>
        <v/>
      </c>
      <c r="N5" s="15"/>
      <c r="O5" s="23"/>
      <c r="P5" s="15"/>
      <c r="Q5" s="15"/>
    </row>
    <row r="6" customFormat="false" ht="15" hidden="false" customHeight="false" outlineLevel="0" collapsed="false">
      <c r="A6" s="15"/>
      <c r="B6" s="15"/>
      <c r="C6" s="15"/>
      <c r="D6" s="14"/>
      <c r="E6" s="14"/>
      <c r="F6" s="21" t="str">
        <f aca="false">IF(E6="","",E6+30)</f>
        <v/>
      </c>
      <c r="G6" s="21" t="str">
        <f aca="false">IF(D6="","",D6+45)</f>
        <v/>
      </c>
      <c r="H6" s="17" t="str">
        <f aca="true">IF(G6="","",G6-TODAY())</f>
        <v/>
      </c>
      <c r="I6" s="22" t="str">
        <f aca="false">IF(H6="","",IF(OR(P6="Ganho",P6="Perdido"),IF(H6&gt;=0,"Revogar o token",""),IF(H6&lt;0,"Token vencido",IF(H6&lt;=7,"Token vence em breve",""))))</f>
        <v/>
      </c>
      <c r="J6" s="16"/>
      <c r="K6" s="16"/>
      <c r="L6" s="21" t="str">
        <f aca="false">IF(E6="","",E6+7)</f>
        <v/>
      </c>
      <c r="M6" s="21" t="str">
        <f aca="false">IF(E6="","",E6+21)</f>
        <v/>
      </c>
      <c r="N6" s="15"/>
      <c r="O6" s="23"/>
      <c r="P6" s="15"/>
      <c r="Q6" s="15"/>
    </row>
    <row r="7" customFormat="false" ht="15" hidden="false" customHeight="false" outlineLevel="0" collapsed="false">
      <c r="A7" s="15"/>
      <c r="B7" s="15"/>
      <c r="C7" s="15"/>
      <c r="D7" s="14"/>
      <c r="E7" s="14"/>
      <c r="F7" s="21" t="str">
        <f aca="false">IF(E7="","",E7+30)</f>
        <v/>
      </c>
      <c r="G7" s="21" t="str">
        <f aca="false">IF(D7="","",D7+45)</f>
        <v/>
      </c>
      <c r="H7" s="17" t="str">
        <f aca="true">IF(G7="","",G7-TODAY())</f>
        <v/>
      </c>
      <c r="I7" s="22" t="str">
        <f aca="false">IF(H7="","",IF(OR(P7="Ganho",P7="Perdido"),IF(H7&gt;=0,"Revogar o token",""),IF(H7&lt;0,"Token vencido",IF(H7&lt;=7,"Token vence em breve",""))))</f>
        <v/>
      </c>
      <c r="J7" s="16"/>
      <c r="K7" s="16"/>
      <c r="L7" s="21" t="str">
        <f aca="false">IF(E7="","",E7+7)</f>
        <v/>
      </c>
      <c r="M7" s="21" t="str">
        <f aca="false">IF(E7="","",E7+21)</f>
        <v/>
      </c>
      <c r="N7" s="15"/>
      <c r="O7" s="23"/>
      <c r="P7" s="15"/>
      <c r="Q7" s="15"/>
    </row>
    <row r="8" customFormat="false" ht="15" hidden="false" customHeight="false" outlineLevel="0" collapsed="false">
      <c r="A8" s="15"/>
      <c r="B8" s="15"/>
      <c r="C8" s="15"/>
      <c r="D8" s="14"/>
      <c r="E8" s="14"/>
      <c r="F8" s="21" t="str">
        <f aca="false">IF(E8="","",E8+30)</f>
        <v/>
      </c>
      <c r="G8" s="21" t="str">
        <f aca="false">IF(D8="","",D8+45)</f>
        <v/>
      </c>
      <c r="H8" s="17" t="str">
        <f aca="true">IF(G8="","",G8-TODAY())</f>
        <v/>
      </c>
      <c r="I8" s="22" t="str">
        <f aca="false">IF(H8="","",IF(OR(P8="Ganho",P8="Perdido"),IF(H8&gt;=0,"Revogar o token",""),IF(H8&lt;0,"Token vencido",IF(H8&lt;=7,"Token vence em breve",""))))</f>
        <v/>
      </c>
      <c r="J8" s="16"/>
      <c r="K8" s="16"/>
      <c r="L8" s="21" t="str">
        <f aca="false">IF(E8="","",E8+7)</f>
        <v/>
      </c>
      <c r="M8" s="21" t="str">
        <f aca="false">IF(E8="","",E8+21)</f>
        <v/>
      </c>
      <c r="N8" s="15"/>
      <c r="O8" s="23"/>
      <c r="P8" s="15"/>
      <c r="Q8" s="15"/>
    </row>
    <row r="9" customFormat="false" ht="15" hidden="false" customHeight="false" outlineLevel="0" collapsed="false">
      <c r="A9" s="15"/>
      <c r="B9" s="15"/>
      <c r="C9" s="15"/>
      <c r="D9" s="14"/>
      <c r="E9" s="14"/>
      <c r="F9" s="21" t="str">
        <f aca="false">IF(E9="","",E9+30)</f>
        <v/>
      </c>
      <c r="G9" s="21" t="str">
        <f aca="false">IF(D9="","",D9+45)</f>
        <v/>
      </c>
      <c r="H9" s="17" t="str">
        <f aca="true">IF(G9="","",G9-TODAY())</f>
        <v/>
      </c>
      <c r="I9" s="22" t="str">
        <f aca="false">IF(H9="","",IF(OR(P9="Ganho",P9="Perdido"),IF(H9&gt;=0,"Revogar o token",""),IF(H9&lt;0,"Token vencido",IF(H9&lt;=7,"Token vence em breve",""))))</f>
        <v/>
      </c>
      <c r="J9" s="16"/>
      <c r="K9" s="16"/>
      <c r="L9" s="21" t="str">
        <f aca="false">IF(E9="","",E9+7)</f>
        <v/>
      </c>
      <c r="M9" s="21" t="str">
        <f aca="false">IF(E9="","",E9+21)</f>
        <v/>
      </c>
      <c r="N9" s="15"/>
      <c r="O9" s="23"/>
      <c r="P9" s="15"/>
      <c r="Q9" s="15"/>
    </row>
    <row r="10" customFormat="false" ht="15" hidden="false" customHeight="false" outlineLevel="0" collapsed="false">
      <c r="A10" s="15"/>
      <c r="B10" s="15"/>
      <c r="C10" s="15"/>
      <c r="D10" s="14"/>
      <c r="E10" s="14"/>
      <c r="F10" s="21" t="str">
        <f aca="false">IF(E10="","",E10+30)</f>
        <v/>
      </c>
      <c r="G10" s="21" t="str">
        <f aca="false">IF(D10="","",D10+45)</f>
        <v/>
      </c>
      <c r="H10" s="17" t="str">
        <f aca="true">IF(G10="","",G10-TODAY())</f>
        <v/>
      </c>
      <c r="I10" s="22" t="str">
        <f aca="false">IF(H10="","",IF(OR(P10="Ganho",P10="Perdido"),IF(H10&gt;=0,"Revogar o token",""),IF(H10&lt;0,"Token vencido",IF(H10&lt;=7,"Token vence em breve",""))))</f>
        <v/>
      </c>
      <c r="J10" s="16"/>
      <c r="K10" s="16"/>
      <c r="L10" s="21" t="str">
        <f aca="false">IF(E10="","",E10+7)</f>
        <v/>
      </c>
      <c r="M10" s="21" t="str">
        <f aca="false">IF(E10="","",E10+21)</f>
        <v/>
      </c>
      <c r="N10" s="15"/>
      <c r="O10" s="23"/>
      <c r="P10" s="15"/>
      <c r="Q10" s="15"/>
    </row>
    <row r="11" customFormat="false" ht="15" hidden="false" customHeight="false" outlineLevel="0" collapsed="false">
      <c r="A11" s="15"/>
      <c r="B11" s="15"/>
      <c r="C11" s="15"/>
      <c r="D11" s="14"/>
      <c r="E11" s="14"/>
      <c r="F11" s="21" t="str">
        <f aca="false">IF(E11="","",E11+30)</f>
        <v/>
      </c>
      <c r="G11" s="21" t="str">
        <f aca="false">IF(D11="","",D11+45)</f>
        <v/>
      </c>
      <c r="H11" s="17" t="str">
        <f aca="true">IF(G11="","",G11-TODAY())</f>
        <v/>
      </c>
      <c r="I11" s="22" t="str">
        <f aca="false">IF(H11="","",IF(OR(P11="Ganho",P11="Perdido"),IF(H11&gt;=0,"Revogar o token",""),IF(H11&lt;0,"Token vencido",IF(H11&lt;=7,"Token vence em breve",""))))</f>
        <v/>
      </c>
      <c r="J11" s="16"/>
      <c r="K11" s="16"/>
      <c r="L11" s="21" t="str">
        <f aca="false">IF(E11="","",E11+7)</f>
        <v/>
      </c>
      <c r="M11" s="21" t="str">
        <f aca="false">IF(E11="","",E11+21)</f>
        <v/>
      </c>
      <c r="N11" s="15"/>
      <c r="O11" s="23"/>
      <c r="P11" s="15"/>
      <c r="Q11" s="15"/>
    </row>
    <row r="12" customFormat="false" ht="15" hidden="false" customHeight="false" outlineLevel="0" collapsed="false">
      <c r="A12" s="15"/>
      <c r="B12" s="15"/>
      <c r="C12" s="15"/>
      <c r="D12" s="14"/>
      <c r="E12" s="14"/>
      <c r="F12" s="21" t="str">
        <f aca="false">IF(E12="","",E12+30)</f>
        <v/>
      </c>
      <c r="G12" s="21" t="str">
        <f aca="false">IF(D12="","",D12+45)</f>
        <v/>
      </c>
      <c r="H12" s="17" t="str">
        <f aca="true">IF(G12="","",G12-TODAY())</f>
        <v/>
      </c>
      <c r="I12" s="22" t="str">
        <f aca="false">IF(H12="","",IF(OR(P12="Ganho",P12="Perdido"),IF(H12&gt;=0,"Revogar o token",""),IF(H12&lt;0,"Token vencido",IF(H12&lt;=7,"Token vence em breve",""))))</f>
        <v/>
      </c>
      <c r="J12" s="16"/>
      <c r="K12" s="16"/>
      <c r="L12" s="21" t="str">
        <f aca="false">IF(E12="","",E12+7)</f>
        <v/>
      </c>
      <c r="M12" s="21" t="str">
        <f aca="false">IF(E12="","",E12+21)</f>
        <v/>
      </c>
      <c r="N12" s="15"/>
      <c r="O12" s="23"/>
      <c r="P12" s="15"/>
      <c r="Q12" s="15"/>
    </row>
    <row r="13" customFormat="false" ht="15" hidden="false" customHeight="false" outlineLevel="0" collapsed="false">
      <c r="A13" s="15"/>
      <c r="B13" s="15"/>
      <c r="C13" s="15"/>
      <c r="D13" s="14"/>
      <c r="E13" s="14"/>
      <c r="F13" s="21" t="str">
        <f aca="false">IF(E13="","",E13+30)</f>
        <v/>
      </c>
      <c r="G13" s="21" t="str">
        <f aca="false">IF(D13="","",D13+45)</f>
        <v/>
      </c>
      <c r="H13" s="17" t="str">
        <f aca="true">IF(G13="","",G13-TODAY())</f>
        <v/>
      </c>
      <c r="I13" s="22" t="str">
        <f aca="false">IF(H13="","",IF(OR(P13="Ganho",P13="Perdido"),IF(H13&gt;=0,"Revogar o token",""),IF(H13&lt;0,"Token vencido",IF(H13&lt;=7,"Token vence em breve",""))))</f>
        <v/>
      </c>
      <c r="J13" s="16"/>
      <c r="K13" s="16"/>
      <c r="L13" s="21" t="str">
        <f aca="false">IF(E13="","",E13+7)</f>
        <v/>
      </c>
      <c r="M13" s="21" t="str">
        <f aca="false">IF(E13="","",E13+21)</f>
        <v/>
      </c>
      <c r="N13" s="15"/>
      <c r="O13" s="23"/>
      <c r="P13" s="15"/>
      <c r="Q13" s="15"/>
    </row>
    <row r="14" customFormat="false" ht="15" hidden="false" customHeight="false" outlineLevel="0" collapsed="false">
      <c r="A14" s="15"/>
      <c r="B14" s="15"/>
      <c r="C14" s="15"/>
      <c r="D14" s="14"/>
      <c r="E14" s="14"/>
      <c r="F14" s="21" t="str">
        <f aca="false">IF(E14="","",E14+30)</f>
        <v/>
      </c>
      <c r="G14" s="21" t="str">
        <f aca="false">IF(D14="","",D14+45)</f>
        <v/>
      </c>
      <c r="H14" s="17" t="str">
        <f aca="true">IF(G14="","",G14-TODAY())</f>
        <v/>
      </c>
      <c r="I14" s="22" t="str">
        <f aca="false">IF(H14="","",IF(OR(P14="Ganho",P14="Perdido"),IF(H14&gt;=0,"Revogar o token",""),IF(H14&lt;0,"Token vencido",IF(H14&lt;=7,"Token vence em breve",""))))</f>
        <v/>
      </c>
      <c r="J14" s="16"/>
      <c r="K14" s="16"/>
      <c r="L14" s="21" t="str">
        <f aca="false">IF(E14="","",E14+7)</f>
        <v/>
      </c>
      <c r="M14" s="21" t="str">
        <f aca="false">IF(E14="","",E14+21)</f>
        <v/>
      </c>
      <c r="N14" s="15"/>
      <c r="O14" s="23"/>
      <c r="P14" s="15"/>
      <c r="Q14" s="15"/>
    </row>
    <row r="15" customFormat="false" ht="15" hidden="false" customHeight="false" outlineLevel="0" collapsed="false">
      <c r="A15" s="15"/>
      <c r="B15" s="15"/>
      <c r="C15" s="15"/>
      <c r="D15" s="14"/>
      <c r="E15" s="14"/>
      <c r="F15" s="21" t="str">
        <f aca="false">IF(E15="","",E15+30)</f>
        <v/>
      </c>
      <c r="G15" s="21" t="str">
        <f aca="false">IF(D15="","",D15+45)</f>
        <v/>
      </c>
      <c r="H15" s="17" t="str">
        <f aca="true">IF(G15="","",G15-TODAY())</f>
        <v/>
      </c>
      <c r="I15" s="22" t="str">
        <f aca="false">IF(H15="","",IF(OR(P15="Ganho",P15="Perdido"),IF(H15&gt;=0,"Revogar o token",""),IF(H15&lt;0,"Token vencido",IF(H15&lt;=7,"Token vence em breve",""))))</f>
        <v/>
      </c>
      <c r="J15" s="16"/>
      <c r="K15" s="16"/>
      <c r="L15" s="21" t="str">
        <f aca="false">IF(E15="","",E15+7)</f>
        <v/>
      </c>
      <c r="M15" s="21" t="str">
        <f aca="false">IF(E15="","",E15+21)</f>
        <v/>
      </c>
      <c r="N15" s="15"/>
      <c r="O15" s="23"/>
      <c r="P15" s="15"/>
      <c r="Q15" s="15"/>
    </row>
    <row r="16" customFormat="false" ht="15" hidden="false" customHeight="false" outlineLevel="0" collapsed="false">
      <c r="A16" s="15"/>
      <c r="B16" s="15"/>
      <c r="C16" s="15"/>
      <c r="D16" s="14"/>
      <c r="E16" s="14"/>
      <c r="F16" s="21" t="str">
        <f aca="false">IF(E16="","",E16+30)</f>
        <v/>
      </c>
      <c r="G16" s="21" t="str">
        <f aca="false">IF(D16="","",D16+45)</f>
        <v/>
      </c>
      <c r="H16" s="17" t="str">
        <f aca="true">IF(G16="","",G16-TODAY())</f>
        <v/>
      </c>
      <c r="I16" s="22" t="str">
        <f aca="false">IF(H16="","",IF(OR(P16="Ganho",P16="Perdido"),IF(H16&gt;=0,"Revogar o token",""),IF(H16&lt;0,"Token vencido",IF(H16&lt;=7,"Token vence em breve",""))))</f>
        <v/>
      </c>
      <c r="J16" s="16"/>
      <c r="K16" s="16"/>
      <c r="L16" s="21" t="str">
        <f aca="false">IF(E16="","",E16+7)</f>
        <v/>
      </c>
      <c r="M16" s="21" t="str">
        <f aca="false">IF(E16="","",E16+21)</f>
        <v/>
      </c>
      <c r="N16" s="15"/>
      <c r="O16" s="23"/>
      <c r="P16" s="15"/>
      <c r="Q16" s="15"/>
    </row>
    <row r="17" customFormat="false" ht="15" hidden="false" customHeight="false" outlineLevel="0" collapsed="false">
      <c r="A17" s="15"/>
      <c r="B17" s="15"/>
      <c r="C17" s="15"/>
      <c r="D17" s="14"/>
      <c r="E17" s="14"/>
      <c r="F17" s="21" t="str">
        <f aca="false">IF(E17="","",E17+30)</f>
        <v/>
      </c>
      <c r="G17" s="21" t="str">
        <f aca="false">IF(D17="","",D17+45)</f>
        <v/>
      </c>
      <c r="H17" s="17" t="str">
        <f aca="true">IF(G17="","",G17-TODAY())</f>
        <v/>
      </c>
      <c r="I17" s="22" t="str">
        <f aca="false">IF(H17="","",IF(OR(P17="Ganho",P17="Perdido"),IF(H17&gt;=0,"Revogar o token",""),IF(H17&lt;0,"Token vencido",IF(H17&lt;=7,"Token vence em breve",""))))</f>
        <v/>
      </c>
      <c r="J17" s="16"/>
      <c r="K17" s="16"/>
      <c r="L17" s="21" t="str">
        <f aca="false">IF(E17="","",E17+7)</f>
        <v/>
      </c>
      <c r="M17" s="21" t="str">
        <f aca="false">IF(E17="","",E17+21)</f>
        <v/>
      </c>
      <c r="N17" s="15"/>
      <c r="O17" s="23"/>
      <c r="P17" s="15"/>
      <c r="Q17" s="15"/>
    </row>
    <row r="18" customFormat="false" ht="15" hidden="false" customHeight="false" outlineLevel="0" collapsed="false">
      <c r="A18" s="15"/>
      <c r="B18" s="15"/>
      <c r="C18" s="15"/>
      <c r="D18" s="14"/>
      <c r="E18" s="14"/>
      <c r="F18" s="21" t="str">
        <f aca="false">IF(E18="","",E18+30)</f>
        <v/>
      </c>
      <c r="G18" s="21" t="str">
        <f aca="false">IF(D18="","",D18+45)</f>
        <v/>
      </c>
      <c r="H18" s="17" t="str">
        <f aca="true">IF(G18="","",G18-TODAY())</f>
        <v/>
      </c>
      <c r="I18" s="22" t="str">
        <f aca="false">IF(H18="","",IF(OR(P18="Ganho",P18="Perdido"),IF(H18&gt;=0,"Revogar o token",""),IF(H18&lt;0,"Token vencido",IF(H18&lt;=7,"Token vence em breve",""))))</f>
        <v/>
      </c>
      <c r="J18" s="16"/>
      <c r="K18" s="16"/>
      <c r="L18" s="21" t="str">
        <f aca="false">IF(E18="","",E18+7)</f>
        <v/>
      </c>
      <c r="M18" s="21" t="str">
        <f aca="false">IF(E18="","",E18+21)</f>
        <v/>
      </c>
      <c r="N18" s="15"/>
      <c r="O18" s="23"/>
      <c r="P18" s="15"/>
      <c r="Q18" s="15"/>
    </row>
    <row r="19" customFormat="false" ht="15" hidden="false" customHeight="false" outlineLevel="0" collapsed="false">
      <c r="A19" s="15"/>
      <c r="B19" s="15"/>
      <c r="C19" s="15"/>
      <c r="D19" s="14"/>
      <c r="E19" s="14"/>
      <c r="F19" s="21" t="str">
        <f aca="false">IF(E19="","",E19+30)</f>
        <v/>
      </c>
      <c r="G19" s="21" t="str">
        <f aca="false">IF(D19="","",D19+45)</f>
        <v/>
      </c>
      <c r="H19" s="17" t="str">
        <f aca="true">IF(G19="","",G19-TODAY())</f>
        <v/>
      </c>
      <c r="I19" s="22" t="str">
        <f aca="false">IF(H19="","",IF(OR(P19="Ganho",P19="Perdido"),IF(H19&gt;=0,"Revogar o token",""),IF(H19&lt;0,"Token vencido",IF(H19&lt;=7,"Token vence em breve",""))))</f>
        <v/>
      </c>
      <c r="J19" s="16"/>
      <c r="K19" s="16"/>
      <c r="L19" s="21" t="str">
        <f aca="false">IF(E19="","",E19+7)</f>
        <v/>
      </c>
      <c r="M19" s="21" t="str">
        <f aca="false">IF(E19="","",E19+21)</f>
        <v/>
      </c>
      <c r="N19" s="15"/>
      <c r="O19" s="23"/>
      <c r="P19" s="15"/>
      <c r="Q19" s="15"/>
    </row>
    <row r="20" customFormat="false" ht="15" hidden="false" customHeight="false" outlineLevel="0" collapsed="false">
      <c r="A20" s="15"/>
      <c r="B20" s="15"/>
      <c r="C20" s="15"/>
      <c r="D20" s="14"/>
      <c r="E20" s="14"/>
      <c r="F20" s="21" t="str">
        <f aca="false">IF(E20="","",E20+30)</f>
        <v/>
      </c>
      <c r="G20" s="21" t="str">
        <f aca="false">IF(D20="","",D20+45)</f>
        <v/>
      </c>
      <c r="H20" s="17" t="str">
        <f aca="true">IF(G20="","",G20-TODAY())</f>
        <v/>
      </c>
      <c r="I20" s="22" t="str">
        <f aca="false">IF(H20="","",IF(OR(P20="Ganho",P20="Perdido"),IF(H20&gt;=0,"Revogar o token",""),IF(H20&lt;0,"Token vencido",IF(H20&lt;=7,"Token vence em breve",""))))</f>
        <v/>
      </c>
      <c r="J20" s="16"/>
      <c r="K20" s="16"/>
      <c r="L20" s="21" t="str">
        <f aca="false">IF(E20="","",E20+7)</f>
        <v/>
      </c>
      <c r="M20" s="21" t="str">
        <f aca="false">IF(E20="","",E20+21)</f>
        <v/>
      </c>
      <c r="N20" s="15"/>
      <c r="O20" s="23"/>
      <c r="P20" s="15"/>
      <c r="Q20" s="15"/>
    </row>
    <row r="21" customFormat="false" ht="15" hidden="false" customHeight="false" outlineLevel="0" collapsed="false">
      <c r="A21" s="15"/>
      <c r="B21" s="15"/>
      <c r="C21" s="15"/>
      <c r="D21" s="14"/>
      <c r="E21" s="14"/>
      <c r="F21" s="21" t="str">
        <f aca="false">IF(E21="","",E21+30)</f>
        <v/>
      </c>
      <c r="G21" s="21" t="str">
        <f aca="false">IF(D21="","",D21+45)</f>
        <v/>
      </c>
      <c r="H21" s="17" t="str">
        <f aca="true">IF(G21="","",G21-TODAY())</f>
        <v/>
      </c>
      <c r="I21" s="22" t="str">
        <f aca="false">IF(H21="","",IF(OR(P21="Ganho",P21="Perdido"),IF(H21&gt;=0,"Revogar o token",""),IF(H21&lt;0,"Token vencido",IF(H21&lt;=7,"Token vence em breve",""))))</f>
        <v/>
      </c>
      <c r="J21" s="16"/>
      <c r="K21" s="16"/>
      <c r="L21" s="21" t="str">
        <f aca="false">IF(E21="","",E21+7)</f>
        <v/>
      </c>
      <c r="M21" s="21" t="str">
        <f aca="false">IF(E21="","",E21+21)</f>
        <v/>
      </c>
      <c r="N21" s="15"/>
      <c r="O21" s="23"/>
      <c r="P21" s="15"/>
      <c r="Q21" s="15"/>
    </row>
    <row r="22" customFormat="false" ht="15" hidden="false" customHeight="false" outlineLevel="0" collapsed="false">
      <c r="A22" s="15"/>
      <c r="B22" s="15"/>
      <c r="C22" s="15"/>
      <c r="D22" s="14"/>
      <c r="E22" s="14"/>
      <c r="F22" s="21" t="str">
        <f aca="false">IF(E22="","",E22+30)</f>
        <v/>
      </c>
      <c r="G22" s="21" t="str">
        <f aca="false">IF(D22="","",D22+45)</f>
        <v/>
      </c>
      <c r="H22" s="17" t="str">
        <f aca="true">IF(G22="","",G22-TODAY())</f>
        <v/>
      </c>
      <c r="I22" s="22" t="str">
        <f aca="false">IF(H22="","",IF(OR(P22="Ganho",P22="Perdido"),IF(H22&gt;=0,"Revogar o token",""),IF(H22&lt;0,"Token vencido",IF(H22&lt;=7,"Token vence em breve",""))))</f>
        <v/>
      </c>
      <c r="J22" s="16"/>
      <c r="K22" s="16"/>
      <c r="L22" s="21" t="str">
        <f aca="false">IF(E22="","",E22+7)</f>
        <v/>
      </c>
      <c r="M22" s="21" t="str">
        <f aca="false">IF(E22="","",E22+21)</f>
        <v/>
      </c>
      <c r="N22" s="15"/>
      <c r="O22" s="23"/>
      <c r="P22" s="15"/>
      <c r="Q22" s="15"/>
    </row>
    <row r="23" customFormat="false" ht="15" hidden="false" customHeight="false" outlineLevel="0" collapsed="false">
      <c r="A23" s="15"/>
      <c r="B23" s="15"/>
      <c r="C23" s="15"/>
      <c r="D23" s="14"/>
      <c r="E23" s="14"/>
      <c r="F23" s="21" t="str">
        <f aca="false">IF(E23="","",E23+30)</f>
        <v/>
      </c>
      <c r="G23" s="21" t="str">
        <f aca="false">IF(D23="","",D23+45)</f>
        <v/>
      </c>
      <c r="H23" s="17" t="str">
        <f aca="true">IF(G23="","",G23-TODAY())</f>
        <v/>
      </c>
      <c r="I23" s="22" t="str">
        <f aca="false">IF(H23="","",IF(OR(P23="Ganho",P23="Perdido"),IF(H23&gt;=0,"Revogar o token",""),IF(H23&lt;0,"Token vencido",IF(H23&lt;=7,"Token vence em breve",""))))</f>
        <v/>
      </c>
      <c r="J23" s="16"/>
      <c r="K23" s="16"/>
      <c r="L23" s="21" t="str">
        <f aca="false">IF(E23="","",E23+7)</f>
        <v/>
      </c>
      <c r="M23" s="21" t="str">
        <f aca="false">IF(E23="","",E23+21)</f>
        <v/>
      </c>
      <c r="N23" s="15"/>
      <c r="O23" s="23"/>
      <c r="P23" s="15"/>
      <c r="Q23" s="15"/>
    </row>
    <row r="24" customFormat="false" ht="15" hidden="false" customHeight="false" outlineLevel="0" collapsed="false">
      <c r="A24" s="15"/>
      <c r="B24" s="15"/>
      <c r="C24" s="15"/>
      <c r="D24" s="14"/>
      <c r="E24" s="14"/>
      <c r="F24" s="21" t="str">
        <f aca="false">IF(E24="","",E24+30)</f>
        <v/>
      </c>
      <c r="G24" s="21" t="str">
        <f aca="false">IF(D24="","",D24+45)</f>
        <v/>
      </c>
      <c r="H24" s="17" t="str">
        <f aca="true">IF(G24="","",G24-TODAY())</f>
        <v/>
      </c>
      <c r="I24" s="22" t="str">
        <f aca="false">IF(H24="","",IF(OR(P24="Ganho",P24="Perdido"),IF(H24&gt;=0,"Revogar o token",""),IF(H24&lt;0,"Token vencido",IF(H24&lt;=7,"Token vence em breve",""))))</f>
        <v/>
      </c>
      <c r="J24" s="16"/>
      <c r="K24" s="16"/>
      <c r="L24" s="21" t="str">
        <f aca="false">IF(E24="","",E24+7)</f>
        <v/>
      </c>
      <c r="M24" s="21" t="str">
        <f aca="false">IF(E24="","",E24+21)</f>
        <v/>
      </c>
      <c r="N24" s="15"/>
      <c r="O24" s="23"/>
      <c r="P24" s="15"/>
      <c r="Q24" s="15"/>
    </row>
    <row r="25" customFormat="false" ht="15" hidden="false" customHeight="false" outlineLevel="0" collapsed="false">
      <c r="A25" s="15"/>
      <c r="B25" s="15"/>
      <c r="C25" s="15"/>
      <c r="D25" s="14"/>
      <c r="E25" s="14"/>
      <c r="F25" s="21" t="str">
        <f aca="false">IF(E25="","",E25+30)</f>
        <v/>
      </c>
      <c r="G25" s="21" t="str">
        <f aca="false">IF(D25="","",D25+45)</f>
        <v/>
      </c>
      <c r="H25" s="17" t="str">
        <f aca="true">IF(G25="","",G25-TODAY())</f>
        <v/>
      </c>
      <c r="I25" s="22" t="str">
        <f aca="false">IF(H25="","",IF(OR(P25="Ganho",P25="Perdido"),IF(H25&gt;=0,"Revogar o token",""),IF(H25&lt;0,"Token vencido",IF(H25&lt;=7,"Token vence em breve",""))))</f>
        <v/>
      </c>
      <c r="J25" s="16"/>
      <c r="K25" s="16"/>
      <c r="L25" s="21" t="str">
        <f aca="false">IF(E25="","",E25+7)</f>
        <v/>
      </c>
      <c r="M25" s="21" t="str">
        <f aca="false">IF(E25="","",E25+21)</f>
        <v/>
      </c>
      <c r="N25" s="15"/>
      <c r="O25" s="23"/>
      <c r="P25" s="15"/>
      <c r="Q25" s="15"/>
    </row>
    <row r="26" customFormat="false" ht="15" hidden="false" customHeight="false" outlineLevel="0" collapsed="false">
      <c r="A26" s="15"/>
      <c r="B26" s="15"/>
      <c r="C26" s="15"/>
      <c r="D26" s="14"/>
      <c r="E26" s="14"/>
      <c r="F26" s="21" t="str">
        <f aca="false">IF(E26="","",E26+30)</f>
        <v/>
      </c>
      <c r="G26" s="21" t="str">
        <f aca="false">IF(D26="","",D26+45)</f>
        <v/>
      </c>
      <c r="H26" s="17" t="str">
        <f aca="true">IF(G26="","",G26-TODAY())</f>
        <v/>
      </c>
      <c r="I26" s="22" t="str">
        <f aca="false">IF(H26="","",IF(OR(P26="Ganho",P26="Perdido"),IF(H26&gt;=0,"Revogar o token",""),IF(H26&lt;0,"Token vencido",IF(H26&lt;=7,"Token vence em breve",""))))</f>
        <v/>
      </c>
      <c r="J26" s="16"/>
      <c r="K26" s="16"/>
      <c r="L26" s="21" t="str">
        <f aca="false">IF(E26="","",E26+7)</f>
        <v/>
      </c>
      <c r="M26" s="21" t="str">
        <f aca="false">IF(E26="","",E26+21)</f>
        <v/>
      </c>
      <c r="N26" s="15"/>
      <c r="O26" s="23"/>
      <c r="P26" s="15"/>
      <c r="Q26" s="15"/>
    </row>
    <row r="27" customFormat="false" ht="15" hidden="false" customHeight="false" outlineLevel="0" collapsed="false">
      <c r="A27" s="15"/>
      <c r="B27" s="15"/>
      <c r="C27" s="15"/>
      <c r="D27" s="14"/>
      <c r="E27" s="14"/>
      <c r="F27" s="21" t="str">
        <f aca="false">IF(E27="","",E27+30)</f>
        <v/>
      </c>
      <c r="G27" s="21" t="str">
        <f aca="false">IF(D27="","",D27+45)</f>
        <v/>
      </c>
      <c r="H27" s="17" t="str">
        <f aca="true">IF(G27="","",G27-TODAY())</f>
        <v/>
      </c>
      <c r="I27" s="22" t="str">
        <f aca="false">IF(H27="","",IF(OR(P27="Ganho",P27="Perdido"),IF(H27&gt;=0,"Revogar o token",""),IF(H27&lt;0,"Token vencido",IF(H27&lt;=7,"Token vence em breve",""))))</f>
        <v/>
      </c>
      <c r="J27" s="16"/>
      <c r="K27" s="16"/>
      <c r="L27" s="21" t="str">
        <f aca="false">IF(E27="","",E27+7)</f>
        <v/>
      </c>
      <c r="M27" s="21" t="str">
        <f aca="false">IF(E27="","",E27+21)</f>
        <v/>
      </c>
      <c r="N27" s="15"/>
      <c r="O27" s="23"/>
      <c r="P27" s="15"/>
      <c r="Q27" s="15"/>
    </row>
    <row r="28" customFormat="false" ht="15" hidden="false" customHeight="false" outlineLevel="0" collapsed="false">
      <c r="A28" s="15"/>
      <c r="B28" s="15"/>
      <c r="C28" s="15"/>
      <c r="D28" s="14"/>
      <c r="E28" s="14"/>
      <c r="F28" s="21" t="str">
        <f aca="false">IF(E28="","",E28+30)</f>
        <v/>
      </c>
      <c r="G28" s="21" t="str">
        <f aca="false">IF(D28="","",D28+45)</f>
        <v/>
      </c>
      <c r="H28" s="17" t="str">
        <f aca="true">IF(G28="","",G28-TODAY())</f>
        <v/>
      </c>
      <c r="I28" s="22" t="str">
        <f aca="false">IF(H28="","",IF(OR(P28="Ganho",P28="Perdido"),IF(H28&gt;=0,"Revogar o token",""),IF(H28&lt;0,"Token vencido",IF(H28&lt;=7,"Token vence em breve",""))))</f>
        <v/>
      </c>
      <c r="J28" s="16"/>
      <c r="K28" s="16"/>
      <c r="L28" s="21" t="str">
        <f aca="false">IF(E28="","",E28+7)</f>
        <v/>
      </c>
      <c r="M28" s="21" t="str">
        <f aca="false">IF(E28="","",E28+21)</f>
        <v/>
      </c>
      <c r="N28" s="15"/>
      <c r="O28" s="23"/>
      <c r="P28" s="15"/>
      <c r="Q28" s="15"/>
    </row>
    <row r="29" customFormat="false" ht="15" hidden="false" customHeight="false" outlineLevel="0" collapsed="false">
      <c r="A29" s="15"/>
      <c r="B29" s="15"/>
      <c r="C29" s="15"/>
      <c r="D29" s="14"/>
      <c r="E29" s="14"/>
      <c r="F29" s="21" t="str">
        <f aca="false">IF(E29="","",E29+30)</f>
        <v/>
      </c>
      <c r="G29" s="21" t="str">
        <f aca="false">IF(D29="","",D29+45)</f>
        <v/>
      </c>
      <c r="H29" s="17" t="str">
        <f aca="true">IF(G29="","",G29-TODAY())</f>
        <v/>
      </c>
      <c r="I29" s="22" t="str">
        <f aca="false">IF(H29="","",IF(OR(P29="Ganho",P29="Perdido"),IF(H29&gt;=0,"Revogar o token",""),IF(H29&lt;0,"Token vencido",IF(H29&lt;=7,"Token vence em breve",""))))</f>
        <v/>
      </c>
      <c r="J29" s="16"/>
      <c r="K29" s="16"/>
      <c r="L29" s="21" t="str">
        <f aca="false">IF(E29="","",E29+7)</f>
        <v/>
      </c>
      <c r="M29" s="21" t="str">
        <f aca="false">IF(E29="","",E29+21)</f>
        <v/>
      </c>
      <c r="N29" s="15"/>
      <c r="O29" s="23"/>
      <c r="P29" s="15"/>
      <c r="Q29" s="15"/>
    </row>
    <row r="30" customFormat="false" ht="15" hidden="false" customHeight="false" outlineLevel="0" collapsed="false">
      <c r="A30" s="15"/>
      <c r="B30" s="15"/>
      <c r="C30" s="15"/>
      <c r="D30" s="14"/>
      <c r="E30" s="14"/>
      <c r="F30" s="21" t="str">
        <f aca="false">IF(E30="","",E30+30)</f>
        <v/>
      </c>
      <c r="G30" s="21" t="str">
        <f aca="false">IF(D30="","",D30+45)</f>
        <v/>
      </c>
      <c r="H30" s="17" t="str">
        <f aca="true">IF(G30="","",G30-TODAY())</f>
        <v/>
      </c>
      <c r="I30" s="22" t="str">
        <f aca="false">IF(H30="","",IF(OR(P30="Ganho",P30="Perdido"),IF(H30&gt;=0,"Revogar o token",""),IF(H30&lt;0,"Token vencido",IF(H30&lt;=7,"Token vence em breve",""))))</f>
        <v/>
      </c>
      <c r="J30" s="16"/>
      <c r="K30" s="16"/>
      <c r="L30" s="21" t="str">
        <f aca="false">IF(E30="","",E30+7)</f>
        <v/>
      </c>
      <c r="M30" s="21" t="str">
        <f aca="false">IF(E30="","",E30+21)</f>
        <v/>
      </c>
      <c r="N30" s="15"/>
      <c r="O30" s="23"/>
      <c r="P30" s="15"/>
      <c r="Q30" s="15"/>
    </row>
    <row r="31" customFormat="false" ht="15" hidden="false" customHeight="false" outlineLevel="0" collapsed="false">
      <c r="A31" s="15"/>
      <c r="B31" s="15"/>
      <c r="C31" s="15"/>
      <c r="D31" s="14"/>
      <c r="E31" s="14"/>
      <c r="F31" s="21" t="str">
        <f aca="false">IF(E31="","",E31+30)</f>
        <v/>
      </c>
      <c r="G31" s="21" t="str">
        <f aca="false">IF(D31="","",D31+45)</f>
        <v/>
      </c>
      <c r="H31" s="17" t="str">
        <f aca="true">IF(G31="","",G31-TODAY())</f>
        <v/>
      </c>
      <c r="I31" s="22" t="str">
        <f aca="false">IF(H31="","",IF(OR(P31="Ganho",P31="Perdido"),IF(H31&gt;=0,"Revogar o token",""),IF(H31&lt;0,"Token vencido",IF(H31&lt;=7,"Token vence em breve",""))))</f>
        <v/>
      </c>
      <c r="J31" s="16"/>
      <c r="K31" s="16"/>
      <c r="L31" s="21" t="str">
        <f aca="false">IF(E31="","",E31+7)</f>
        <v/>
      </c>
      <c r="M31" s="21" t="str">
        <f aca="false">IF(E31="","",E31+21)</f>
        <v/>
      </c>
      <c r="N31" s="15"/>
      <c r="O31" s="23"/>
      <c r="P31" s="15"/>
      <c r="Q31" s="15"/>
    </row>
    <row r="32" customFormat="false" ht="15" hidden="false" customHeight="false" outlineLevel="0" collapsed="false">
      <c r="A32" s="15"/>
      <c r="B32" s="15"/>
      <c r="C32" s="15"/>
      <c r="D32" s="14"/>
      <c r="E32" s="14"/>
      <c r="F32" s="21" t="str">
        <f aca="false">IF(E32="","",E32+30)</f>
        <v/>
      </c>
      <c r="G32" s="21" t="str">
        <f aca="false">IF(D32="","",D32+45)</f>
        <v/>
      </c>
      <c r="H32" s="17" t="str">
        <f aca="true">IF(G32="","",G32-TODAY())</f>
        <v/>
      </c>
      <c r="I32" s="22" t="str">
        <f aca="false">IF(H32="","",IF(OR(P32="Ganho",P32="Perdido"),IF(H32&gt;=0,"Revogar o token",""),IF(H32&lt;0,"Token vencido",IF(H32&lt;=7,"Token vence em breve",""))))</f>
        <v/>
      </c>
      <c r="J32" s="16"/>
      <c r="K32" s="16"/>
      <c r="L32" s="21" t="str">
        <f aca="false">IF(E32="","",E32+7)</f>
        <v/>
      </c>
      <c r="M32" s="21" t="str">
        <f aca="false">IF(E32="","",E32+21)</f>
        <v/>
      </c>
      <c r="N32" s="15"/>
      <c r="O32" s="23"/>
      <c r="P32" s="15"/>
      <c r="Q32" s="15"/>
    </row>
    <row r="33" customFormat="false" ht="15" hidden="false" customHeight="false" outlineLevel="0" collapsed="false">
      <c r="A33" s="15"/>
      <c r="B33" s="15"/>
      <c r="C33" s="15"/>
      <c r="D33" s="14"/>
      <c r="E33" s="14"/>
      <c r="F33" s="21" t="str">
        <f aca="false">IF(E33="","",E33+30)</f>
        <v/>
      </c>
      <c r="G33" s="21" t="str">
        <f aca="false">IF(D33="","",D33+45)</f>
        <v/>
      </c>
      <c r="H33" s="17" t="str">
        <f aca="true">IF(G33="","",G33-TODAY())</f>
        <v/>
      </c>
      <c r="I33" s="22" t="str">
        <f aca="false">IF(H33="","",IF(OR(P33="Ganho",P33="Perdido"),IF(H33&gt;=0,"Revogar o token",""),IF(H33&lt;0,"Token vencido",IF(H33&lt;=7,"Token vence em breve",""))))</f>
        <v/>
      </c>
      <c r="J33" s="16"/>
      <c r="K33" s="16"/>
      <c r="L33" s="21" t="str">
        <f aca="false">IF(E33="","",E33+7)</f>
        <v/>
      </c>
      <c r="M33" s="21" t="str">
        <f aca="false">IF(E33="","",E33+21)</f>
        <v/>
      </c>
      <c r="N33" s="15"/>
      <c r="O33" s="23"/>
      <c r="P33" s="15"/>
      <c r="Q33" s="15"/>
    </row>
    <row r="34" customFormat="false" ht="15" hidden="false" customHeight="false" outlineLevel="0" collapsed="false">
      <c r="A34" s="15"/>
      <c r="B34" s="15"/>
      <c r="C34" s="15"/>
      <c r="D34" s="14"/>
      <c r="E34" s="14"/>
      <c r="F34" s="21" t="str">
        <f aca="false">IF(E34="","",E34+30)</f>
        <v/>
      </c>
      <c r="G34" s="21" t="str">
        <f aca="false">IF(D34="","",D34+45)</f>
        <v/>
      </c>
      <c r="H34" s="17" t="str">
        <f aca="true">IF(G34="","",G34-TODAY())</f>
        <v/>
      </c>
      <c r="I34" s="22" t="str">
        <f aca="false">IF(H34="","",IF(OR(P34="Ganho",P34="Perdido"),IF(H34&gt;=0,"Revogar o token",""),IF(H34&lt;0,"Token vencido",IF(H34&lt;=7,"Token vence em breve",""))))</f>
        <v/>
      </c>
      <c r="J34" s="16"/>
      <c r="K34" s="16"/>
      <c r="L34" s="21" t="str">
        <f aca="false">IF(E34="","",E34+7)</f>
        <v/>
      </c>
      <c r="M34" s="21" t="str">
        <f aca="false">IF(E34="","",E34+21)</f>
        <v/>
      </c>
      <c r="N34" s="15"/>
      <c r="O34" s="23"/>
      <c r="P34" s="15"/>
      <c r="Q34" s="15"/>
    </row>
    <row r="35" customFormat="false" ht="15" hidden="false" customHeight="false" outlineLevel="0" collapsed="false">
      <c r="A35" s="15"/>
      <c r="B35" s="15"/>
      <c r="C35" s="15"/>
      <c r="D35" s="14"/>
      <c r="E35" s="14"/>
      <c r="F35" s="21" t="str">
        <f aca="false">IF(E35="","",E35+30)</f>
        <v/>
      </c>
      <c r="G35" s="21" t="str">
        <f aca="false">IF(D35="","",D35+45)</f>
        <v/>
      </c>
      <c r="H35" s="17" t="str">
        <f aca="true">IF(G35="","",G35-TODAY())</f>
        <v/>
      </c>
      <c r="I35" s="22" t="str">
        <f aca="false">IF(H35="","",IF(OR(P35="Ganho",P35="Perdido"),IF(H35&gt;=0,"Revogar o token",""),IF(H35&lt;0,"Token vencido",IF(H35&lt;=7,"Token vence em breve",""))))</f>
        <v/>
      </c>
      <c r="J35" s="16"/>
      <c r="K35" s="16"/>
      <c r="L35" s="21" t="str">
        <f aca="false">IF(E35="","",E35+7)</f>
        <v/>
      </c>
      <c r="M35" s="21" t="str">
        <f aca="false">IF(E35="","",E35+21)</f>
        <v/>
      </c>
      <c r="N35" s="15"/>
      <c r="O35" s="23"/>
      <c r="P35" s="15"/>
      <c r="Q35" s="15"/>
    </row>
    <row r="36" customFormat="false" ht="15" hidden="false" customHeight="false" outlineLevel="0" collapsed="false">
      <c r="A36" s="15"/>
      <c r="B36" s="15"/>
      <c r="C36" s="15"/>
      <c r="D36" s="14"/>
      <c r="E36" s="14"/>
      <c r="F36" s="21" t="str">
        <f aca="false">IF(E36="","",E36+30)</f>
        <v/>
      </c>
      <c r="G36" s="21" t="str">
        <f aca="false">IF(D36="","",D36+45)</f>
        <v/>
      </c>
      <c r="H36" s="17" t="str">
        <f aca="true">IF(G36="","",G36-TODAY())</f>
        <v/>
      </c>
      <c r="I36" s="22" t="str">
        <f aca="false">IF(H36="","",IF(OR(P36="Ganho",P36="Perdido"),IF(H36&gt;=0,"Revogar o token",""),IF(H36&lt;0,"Token vencido",IF(H36&lt;=7,"Token vence em breve",""))))</f>
        <v/>
      </c>
      <c r="J36" s="16"/>
      <c r="K36" s="16"/>
      <c r="L36" s="21" t="str">
        <f aca="false">IF(E36="","",E36+7)</f>
        <v/>
      </c>
      <c r="M36" s="21" t="str">
        <f aca="false">IF(E36="","",E36+21)</f>
        <v/>
      </c>
      <c r="N36" s="15"/>
      <c r="O36" s="23"/>
      <c r="P36" s="15"/>
      <c r="Q36" s="15"/>
    </row>
    <row r="37" customFormat="false" ht="15" hidden="false" customHeight="false" outlineLevel="0" collapsed="false">
      <c r="A37" s="15"/>
      <c r="B37" s="15"/>
      <c r="C37" s="15"/>
      <c r="D37" s="14"/>
      <c r="E37" s="14"/>
      <c r="F37" s="21" t="str">
        <f aca="false">IF(E37="","",E37+30)</f>
        <v/>
      </c>
      <c r="G37" s="21" t="str">
        <f aca="false">IF(D37="","",D37+45)</f>
        <v/>
      </c>
      <c r="H37" s="17" t="str">
        <f aca="true">IF(G37="","",G37-TODAY())</f>
        <v/>
      </c>
      <c r="I37" s="22" t="str">
        <f aca="false">IF(H37="","",IF(OR(P37="Ganho",P37="Perdido"),IF(H37&gt;=0,"Revogar o token",""),IF(H37&lt;0,"Token vencido",IF(H37&lt;=7,"Token vence em breve",""))))</f>
        <v/>
      </c>
      <c r="J37" s="16"/>
      <c r="K37" s="16"/>
      <c r="L37" s="21" t="str">
        <f aca="false">IF(E37="","",E37+7)</f>
        <v/>
      </c>
      <c r="M37" s="21" t="str">
        <f aca="false">IF(E37="","",E37+21)</f>
        <v/>
      </c>
      <c r="N37" s="15"/>
      <c r="O37" s="23"/>
      <c r="P37" s="15"/>
      <c r="Q37" s="15"/>
    </row>
    <row r="38" customFormat="false" ht="15" hidden="false" customHeight="false" outlineLevel="0" collapsed="false">
      <c r="A38" s="15"/>
      <c r="B38" s="15"/>
      <c r="C38" s="15"/>
      <c r="D38" s="14"/>
      <c r="E38" s="14"/>
      <c r="F38" s="21" t="str">
        <f aca="false">IF(E38="","",E38+30)</f>
        <v/>
      </c>
      <c r="G38" s="21" t="str">
        <f aca="false">IF(D38="","",D38+45)</f>
        <v/>
      </c>
      <c r="H38" s="17" t="str">
        <f aca="true">IF(G38="","",G38-TODAY())</f>
        <v/>
      </c>
      <c r="I38" s="22" t="str">
        <f aca="false">IF(H38="","",IF(OR(P38="Ganho",P38="Perdido"),IF(H38&gt;=0,"Revogar o token",""),IF(H38&lt;0,"Token vencido",IF(H38&lt;=7,"Token vence em breve",""))))</f>
        <v/>
      </c>
      <c r="J38" s="16"/>
      <c r="K38" s="16"/>
      <c r="L38" s="21" t="str">
        <f aca="false">IF(E38="","",E38+7)</f>
        <v/>
      </c>
      <c r="M38" s="21" t="str">
        <f aca="false">IF(E38="","",E38+21)</f>
        <v/>
      </c>
      <c r="N38" s="15"/>
      <c r="O38" s="23"/>
      <c r="P38" s="15"/>
      <c r="Q38" s="15"/>
    </row>
    <row r="39" customFormat="false" ht="15" hidden="false" customHeight="false" outlineLevel="0" collapsed="false">
      <c r="A39" s="15"/>
      <c r="B39" s="15"/>
      <c r="C39" s="15"/>
      <c r="D39" s="14"/>
      <c r="E39" s="14"/>
      <c r="F39" s="21" t="str">
        <f aca="false">IF(E39="","",E39+30)</f>
        <v/>
      </c>
      <c r="G39" s="21" t="str">
        <f aca="false">IF(D39="","",D39+45)</f>
        <v/>
      </c>
      <c r="H39" s="17" t="str">
        <f aca="true">IF(G39="","",G39-TODAY())</f>
        <v/>
      </c>
      <c r="I39" s="22" t="str">
        <f aca="false">IF(H39="","",IF(OR(P39="Ganho",P39="Perdido"),IF(H39&gt;=0,"Revogar o token",""),IF(H39&lt;0,"Token vencido",IF(H39&lt;=7,"Token vence em breve",""))))</f>
        <v/>
      </c>
      <c r="J39" s="16"/>
      <c r="K39" s="16"/>
      <c r="L39" s="21" t="str">
        <f aca="false">IF(E39="","",E39+7)</f>
        <v/>
      </c>
      <c r="M39" s="21" t="str">
        <f aca="false">IF(E39="","",E39+21)</f>
        <v/>
      </c>
      <c r="N39" s="15"/>
      <c r="O39" s="23"/>
      <c r="P39" s="15"/>
      <c r="Q39" s="15"/>
    </row>
    <row r="40" customFormat="false" ht="15" hidden="false" customHeight="false" outlineLevel="0" collapsed="false">
      <c r="A40" s="15"/>
      <c r="B40" s="15"/>
      <c r="C40" s="15"/>
      <c r="D40" s="14"/>
      <c r="E40" s="14"/>
      <c r="F40" s="21" t="str">
        <f aca="false">IF(E40="","",E40+30)</f>
        <v/>
      </c>
      <c r="G40" s="21" t="str">
        <f aca="false">IF(D40="","",D40+45)</f>
        <v/>
      </c>
      <c r="H40" s="17" t="str">
        <f aca="true">IF(G40="","",G40-TODAY())</f>
        <v/>
      </c>
      <c r="I40" s="22" t="str">
        <f aca="false">IF(H40="","",IF(OR(P40="Ganho",P40="Perdido"),IF(H40&gt;=0,"Revogar o token",""),IF(H40&lt;0,"Token vencido",IF(H40&lt;=7,"Token vence em breve",""))))</f>
        <v/>
      </c>
      <c r="J40" s="16"/>
      <c r="K40" s="16"/>
      <c r="L40" s="21" t="str">
        <f aca="false">IF(E40="","",E40+7)</f>
        <v/>
      </c>
      <c r="M40" s="21" t="str">
        <f aca="false">IF(E40="","",E40+21)</f>
        <v/>
      </c>
      <c r="N40" s="15"/>
      <c r="O40" s="23"/>
      <c r="P40" s="15"/>
      <c r="Q40" s="15"/>
    </row>
    <row r="41" customFormat="false" ht="15" hidden="false" customHeight="false" outlineLevel="0" collapsed="false">
      <c r="A41" s="15"/>
      <c r="B41" s="15"/>
      <c r="C41" s="15"/>
      <c r="D41" s="14"/>
      <c r="E41" s="14"/>
      <c r="F41" s="21" t="str">
        <f aca="false">IF(E41="","",E41+30)</f>
        <v/>
      </c>
      <c r="G41" s="21" t="str">
        <f aca="false">IF(D41="","",D41+45)</f>
        <v/>
      </c>
      <c r="H41" s="17" t="str">
        <f aca="true">IF(G41="","",G41-TODAY())</f>
        <v/>
      </c>
      <c r="I41" s="22" t="str">
        <f aca="false">IF(H41="","",IF(OR(P41="Ganho",P41="Perdido"),IF(H41&gt;=0,"Revogar o token",""),IF(H41&lt;0,"Token vencido",IF(H41&lt;=7,"Token vence em breve",""))))</f>
        <v/>
      </c>
      <c r="J41" s="16"/>
      <c r="K41" s="16"/>
      <c r="L41" s="21" t="str">
        <f aca="false">IF(E41="","",E41+7)</f>
        <v/>
      </c>
      <c r="M41" s="21" t="str">
        <f aca="false">IF(E41="","",E41+21)</f>
        <v/>
      </c>
      <c r="N41" s="15"/>
      <c r="O41" s="23"/>
      <c r="P41" s="15"/>
      <c r="Q41" s="15"/>
    </row>
    <row r="42" customFormat="false" ht="15" hidden="false" customHeight="false" outlineLevel="0" collapsed="false">
      <c r="A42" s="15"/>
      <c r="B42" s="15"/>
      <c r="C42" s="15"/>
      <c r="D42" s="14"/>
      <c r="E42" s="14"/>
      <c r="F42" s="21" t="str">
        <f aca="false">IF(E42="","",E42+30)</f>
        <v/>
      </c>
      <c r="G42" s="21" t="str">
        <f aca="false">IF(D42="","",D42+45)</f>
        <v/>
      </c>
      <c r="H42" s="17" t="str">
        <f aca="true">IF(G42="","",G42-TODAY())</f>
        <v/>
      </c>
      <c r="I42" s="22" t="str">
        <f aca="false">IF(H42="","",IF(OR(P42="Ganho",P42="Perdido"),IF(H42&gt;=0,"Revogar o token",""),IF(H42&lt;0,"Token vencido",IF(H42&lt;=7,"Token vence em breve",""))))</f>
        <v/>
      </c>
      <c r="J42" s="16"/>
      <c r="K42" s="16"/>
      <c r="L42" s="21" t="str">
        <f aca="false">IF(E42="","",E42+7)</f>
        <v/>
      </c>
      <c r="M42" s="21" t="str">
        <f aca="false">IF(E42="","",E42+21)</f>
        <v/>
      </c>
      <c r="N42" s="15"/>
      <c r="O42" s="23"/>
      <c r="P42" s="15"/>
      <c r="Q42" s="15"/>
    </row>
    <row r="43" customFormat="false" ht="15" hidden="false" customHeight="false" outlineLevel="0" collapsed="false">
      <c r="A43" s="15"/>
      <c r="B43" s="15"/>
      <c r="C43" s="15"/>
      <c r="D43" s="14"/>
      <c r="E43" s="14"/>
      <c r="F43" s="21" t="str">
        <f aca="false">IF(E43="","",E43+30)</f>
        <v/>
      </c>
      <c r="G43" s="21" t="str">
        <f aca="false">IF(D43="","",D43+45)</f>
        <v/>
      </c>
      <c r="H43" s="17" t="str">
        <f aca="true">IF(G43="","",G43-TODAY())</f>
        <v/>
      </c>
      <c r="I43" s="22" t="str">
        <f aca="false">IF(H43="","",IF(OR(P43="Ganho",P43="Perdido"),IF(H43&gt;=0,"Revogar o token",""),IF(H43&lt;0,"Token vencido",IF(H43&lt;=7,"Token vence em breve",""))))</f>
        <v/>
      </c>
      <c r="J43" s="16"/>
      <c r="K43" s="16"/>
      <c r="L43" s="21" t="str">
        <f aca="false">IF(E43="","",E43+7)</f>
        <v/>
      </c>
      <c r="M43" s="21" t="str">
        <f aca="false">IF(E43="","",E43+21)</f>
        <v/>
      </c>
      <c r="N43" s="15"/>
      <c r="O43" s="23"/>
      <c r="P43" s="15"/>
      <c r="Q43" s="15"/>
    </row>
    <row r="44" customFormat="false" ht="15" hidden="false" customHeight="false" outlineLevel="0" collapsed="false">
      <c r="A44" s="15"/>
      <c r="B44" s="15"/>
      <c r="C44" s="15"/>
      <c r="D44" s="14"/>
      <c r="E44" s="14"/>
      <c r="F44" s="21" t="str">
        <f aca="false">IF(E44="","",E44+30)</f>
        <v/>
      </c>
      <c r="G44" s="21" t="str">
        <f aca="false">IF(D44="","",D44+45)</f>
        <v/>
      </c>
      <c r="H44" s="17" t="str">
        <f aca="true">IF(G44="","",G44-TODAY())</f>
        <v/>
      </c>
      <c r="I44" s="22" t="str">
        <f aca="false">IF(H44="","",IF(OR(P44="Ganho",P44="Perdido"),IF(H44&gt;=0,"Revogar o token",""),IF(H44&lt;0,"Token vencido",IF(H44&lt;=7,"Token vence em breve",""))))</f>
        <v/>
      </c>
      <c r="J44" s="16"/>
      <c r="K44" s="16"/>
      <c r="L44" s="21" t="str">
        <f aca="false">IF(E44="","",E44+7)</f>
        <v/>
      </c>
      <c r="M44" s="21" t="str">
        <f aca="false">IF(E44="","",E44+21)</f>
        <v/>
      </c>
      <c r="N44" s="15"/>
      <c r="O44" s="23"/>
      <c r="P44" s="15"/>
      <c r="Q44" s="15"/>
    </row>
    <row r="45" customFormat="false" ht="15" hidden="false" customHeight="false" outlineLevel="0" collapsed="false">
      <c r="A45" s="15"/>
      <c r="B45" s="15"/>
      <c r="C45" s="15"/>
      <c r="D45" s="14"/>
      <c r="E45" s="14"/>
      <c r="F45" s="21" t="str">
        <f aca="false">IF(E45="","",E45+30)</f>
        <v/>
      </c>
      <c r="G45" s="21" t="str">
        <f aca="false">IF(D45="","",D45+45)</f>
        <v/>
      </c>
      <c r="H45" s="17" t="str">
        <f aca="true">IF(G45="","",G45-TODAY())</f>
        <v/>
      </c>
      <c r="I45" s="22" t="str">
        <f aca="false">IF(H45="","",IF(OR(P45="Ganho",P45="Perdido"),IF(H45&gt;=0,"Revogar o token",""),IF(H45&lt;0,"Token vencido",IF(H45&lt;=7,"Token vence em breve",""))))</f>
        <v/>
      </c>
      <c r="J45" s="16"/>
      <c r="K45" s="16"/>
      <c r="L45" s="21" t="str">
        <f aca="false">IF(E45="","",E45+7)</f>
        <v/>
      </c>
      <c r="M45" s="21" t="str">
        <f aca="false">IF(E45="","",E45+21)</f>
        <v/>
      </c>
      <c r="N45" s="15"/>
      <c r="O45" s="23"/>
      <c r="P45" s="15"/>
      <c r="Q45" s="15"/>
    </row>
    <row r="46" customFormat="false" ht="15" hidden="false" customHeight="false" outlineLevel="0" collapsed="false">
      <c r="A46" s="15"/>
      <c r="B46" s="15"/>
      <c r="C46" s="15"/>
      <c r="D46" s="14"/>
      <c r="E46" s="14"/>
      <c r="F46" s="21" t="str">
        <f aca="false">IF(E46="","",E46+30)</f>
        <v/>
      </c>
      <c r="G46" s="21" t="str">
        <f aca="false">IF(D46="","",D46+45)</f>
        <v/>
      </c>
      <c r="H46" s="17" t="str">
        <f aca="true">IF(G46="","",G46-TODAY())</f>
        <v/>
      </c>
      <c r="I46" s="22" t="str">
        <f aca="false">IF(H46="","",IF(OR(P46="Ganho",P46="Perdido"),IF(H46&gt;=0,"Revogar o token",""),IF(H46&lt;0,"Token vencido",IF(H46&lt;=7,"Token vence em breve",""))))</f>
        <v/>
      </c>
      <c r="J46" s="16"/>
      <c r="K46" s="16"/>
      <c r="L46" s="21" t="str">
        <f aca="false">IF(E46="","",E46+7)</f>
        <v/>
      </c>
      <c r="M46" s="21" t="str">
        <f aca="false">IF(E46="","",E46+21)</f>
        <v/>
      </c>
      <c r="N46" s="15"/>
      <c r="O46" s="23"/>
      <c r="P46" s="15"/>
      <c r="Q46" s="15"/>
    </row>
    <row r="47" customFormat="false" ht="15" hidden="false" customHeight="false" outlineLevel="0" collapsed="false">
      <c r="A47" s="15"/>
      <c r="B47" s="15"/>
      <c r="C47" s="15"/>
      <c r="D47" s="14"/>
      <c r="E47" s="14"/>
      <c r="F47" s="21" t="str">
        <f aca="false">IF(E47="","",E47+30)</f>
        <v/>
      </c>
      <c r="G47" s="21" t="str">
        <f aca="false">IF(D47="","",D47+45)</f>
        <v/>
      </c>
      <c r="H47" s="17" t="str">
        <f aca="true">IF(G47="","",G47-TODAY())</f>
        <v/>
      </c>
      <c r="I47" s="22" t="str">
        <f aca="false">IF(H47="","",IF(OR(P47="Ganho",P47="Perdido"),IF(H47&gt;=0,"Revogar o token",""),IF(H47&lt;0,"Token vencido",IF(H47&lt;=7,"Token vence em breve",""))))</f>
        <v/>
      </c>
      <c r="J47" s="16"/>
      <c r="K47" s="16"/>
      <c r="L47" s="21" t="str">
        <f aca="false">IF(E47="","",E47+7)</f>
        <v/>
      </c>
      <c r="M47" s="21" t="str">
        <f aca="false">IF(E47="","",E47+21)</f>
        <v/>
      </c>
      <c r="N47" s="15"/>
      <c r="O47" s="23"/>
      <c r="P47" s="15"/>
      <c r="Q47" s="15"/>
    </row>
    <row r="48" customFormat="false" ht="15" hidden="false" customHeight="false" outlineLevel="0" collapsed="false">
      <c r="A48" s="15"/>
      <c r="B48" s="15"/>
      <c r="C48" s="15"/>
      <c r="D48" s="14"/>
      <c r="E48" s="14"/>
      <c r="F48" s="21" t="str">
        <f aca="false">IF(E48="","",E48+30)</f>
        <v/>
      </c>
      <c r="G48" s="21" t="str">
        <f aca="false">IF(D48="","",D48+45)</f>
        <v/>
      </c>
      <c r="H48" s="17" t="str">
        <f aca="true">IF(G48="","",G48-TODAY())</f>
        <v/>
      </c>
      <c r="I48" s="22" t="str">
        <f aca="false">IF(H48="","",IF(OR(P48="Ganho",P48="Perdido"),IF(H48&gt;=0,"Revogar o token",""),IF(H48&lt;0,"Token vencido",IF(H48&lt;=7,"Token vence em breve",""))))</f>
        <v/>
      </c>
      <c r="J48" s="16"/>
      <c r="K48" s="16"/>
      <c r="L48" s="21" t="str">
        <f aca="false">IF(E48="","",E48+7)</f>
        <v/>
      </c>
      <c r="M48" s="21" t="str">
        <f aca="false">IF(E48="","",E48+21)</f>
        <v/>
      </c>
      <c r="N48" s="15"/>
      <c r="O48" s="23"/>
      <c r="P48" s="15"/>
      <c r="Q48" s="15"/>
    </row>
    <row r="49" customFormat="false" ht="15" hidden="false" customHeight="false" outlineLevel="0" collapsed="false">
      <c r="A49" s="15"/>
      <c r="B49" s="15"/>
      <c r="C49" s="15"/>
      <c r="D49" s="14"/>
      <c r="E49" s="14"/>
      <c r="F49" s="21" t="str">
        <f aca="false">IF(E49="","",E49+30)</f>
        <v/>
      </c>
      <c r="G49" s="21" t="str">
        <f aca="false">IF(D49="","",D49+45)</f>
        <v/>
      </c>
      <c r="H49" s="17" t="str">
        <f aca="true">IF(G49="","",G49-TODAY())</f>
        <v/>
      </c>
      <c r="I49" s="22" t="str">
        <f aca="false">IF(H49="","",IF(OR(P49="Ganho",P49="Perdido"),IF(H49&gt;=0,"Revogar o token",""),IF(H49&lt;0,"Token vencido",IF(H49&lt;=7,"Token vence em breve",""))))</f>
        <v/>
      </c>
      <c r="J49" s="16"/>
      <c r="K49" s="16"/>
      <c r="L49" s="21" t="str">
        <f aca="false">IF(E49="","",E49+7)</f>
        <v/>
      </c>
      <c r="M49" s="21" t="str">
        <f aca="false">IF(E49="","",E49+21)</f>
        <v/>
      </c>
      <c r="N49" s="15"/>
      <c r="O49" s="23"/>
      <c r="P49" s="15"/>
      <c r="Q49" s="15"/>
    </row>
    <row r="50" customFormat="false" ht="15" hidden="false" customHeight="false" outlineLevel="0" collapsed="false">
      <c r="A50" s="15"/>
      <c r="B50" s="15"/>
      <c r="C50" s="15"/>
      <c r="D50" s="14"/>
      <c r="E50" s="14"/>
      <c r="F50" s="21" t="str">
        <f aca="false">IF(E50="","",E50+30)</f>
        <v/>
      </c>
      <c r="G50" s="21" t="str">
        <f aca="false">IF(D50="","",D50+45)</f>
        <v/>
      </c>
      <c r="H50" s="17" t="str">
        <f aca="true">IF(G50="","",G50-TODAY())</f>
        <v/>
      </c>
      <c r="I50" s="22" t="str">
        <f aca="false">IF(H50="","",IF(OR(P50="Ganho",P50="Perdido"),IF(H50&gt;=0,"Revogar o token",""),IF(H50&lt;0,"Token vencido",IF(H50&lt;=7,"Token vence em breve",""))))</f>
        <v/>
      </c>
      <c r="J50" s="16"/>
      <c r="K50" s="16"/>
      <c r="L50" s="21" t="str">
        <f aca="false">IF(E50="","",E50+7)</f>
        <v/>
      </c>
      <c r="M50" s="21" t="str">
        <f aca="false">IF(E50="","",E50+21)</f>
        <v/>
      </c>
      <c r="N50" s="15"/>
      <c r="O50" s="23"/>
      <c r="P50" s="15"/>
      <c r="Q50" s="15"/>
    </row>
    <row r="51" customFormat="false" ht="15" hidden="false" customHeight="false" outlineLevel="0" collapsed="false">
      <c r="A51" s="15"/>
      <c r="B51" s="15"/>
      <c r="C51" s="15"/>
      <c r="D51" s="14"/>
      <c r="E51" s="14"/>
      <c r="F51" s="21" t="str">
        <f aca="false">IF(E51="","",E51+30)</f>
        <v/>
      </c>
      <c r="G51" s="21" t="str">
        <f aca="false">IF(D51="","",D51+45)</f>
        <v/>
      </c>
      <c r="H51" s="17" t="str">
        <f aca="true">IF(G51="","",G51-TODAY())</f>
        <v/>
      </c>
      <c r="I51" s="22" t="str">
        <f aca="false">IF(H51="","",IF(OR(P51="Ganho",P51="Perdido"),IF(H51&gt;=0,"Revogar o token",""),IF(H51&lt;0,"Token vencido",IF(H51&lt;=7,"Token vence em breve",""))))</f>
        <v/>
      </c>
      <c r="J51" s="16"/>
      <c r="K51" s="16"/>
      <c r="L51" s="21" t="str">
        <f aca="false">IF(E51="","",E51+7)</f>
        <v/>
      </c>
      <c r="M51" s="21" t="str">
        <f aca="false">IF(E51="","",E51+21)</f>
        <v/>
      </c>
      <c r="N51" s="15"/>
      <c r="O51" s="23"/>
      <c r="P51" s="15"/>
      <c r="Q51" s="15"/>
    </row>
    <row r="52" customFormat="false" ht="15" hidden="false" customHeight="false" outlineLevel="0" collapsed="false">
      <c r="A52" s="15"/>
      <c r="B52" s="15"/>
      <c r="C52" s="15"/>
      <c r="D52" s="14"/>
      <c r="E52" s="14"/>
      <c r="F52" s="21" t="str">
        <f aca="false">IF(E52="","",E52+30)</f>
        <v/>
      </c>
      <c r="G52" s="21" t="str">
        <f aca="false">IF(D52="","",D52+45)</f>
        <v/>
      </c>
      <c r="H52" s="17" t="str">
        <f aca="true">IF(G52="","",G52-TODAY())</f>
        <v/>
      </c>
      <c r="I52" s="22" t="str">
        <f aca="false">IF(H52="","",IF(OR(P52="Ganho",P52="Perdido"),IF(H52&gt;=0,"Revogar o token",""),IF(H52&lt;0,"Token vencido",IF(H52&lt;=7,"Token vence em breve",""))))</f>
        <v/>
      </c>
      <c r="J52" s="16"/>
      <c r="K52" s="16"/>
      <c r="L52" s="21" t="str">
        <f aca="false">IF(E52="","",E52+7)</f>
        <v/>
      </c>
      <c r="M52" s="21" t="str">
        <f aca="false">IF(E52="","",E52+21)</f>
        <v/>
      </c>
      <c r="N52" s="15"/>
      <c r="O52" s="23"/>
      <c r="P52" s="15"/>
      <c r="Q52" s="15"/>
    </row>
    <row r="53" customFormat="false" ht="15" hidden="false" customHeight="false" outlineLevel="0" collapsed="false">
      <c r="A53" s="15"/>
      <c r="B53" s="15"/>
      <c r="C53" s="15"/>
      <c r="D53" s="14"/>
      <c r="E53" s="14"/>
      <c r="F53" s="21" t="str">
        <f aca="false">IF(E53="","",E53+30)</f>
        <v/>
      </c>
      <c r="G53" s="21" t="str">
        <f aca="false">IF(D53="","",D53+45)</f>
        <v/>
      </c>
      <c r="H53" s="17" t="str">
        <f aca="true">IF(G53="","",G53-TODAY())</f>
        <v/>
      </c>
      <c r="I53" s="22" t="str">
        <f aca="false">IF(H53="","",IF(OR(P53="Ganho",P53="Perdido"),IF(H53&gt;=0,"Revogar o token",""),IF(H53&lt;0,"Token vencido",IF(H53&lt;=7,"Token vence em breve",""))))</f>
        <v/>
      </c>
      <c r="J53" s="16"/>
      <c r="K53" s="16"/>
      <c r="L53" s="21" t="str">
        <f aca="false">IF(E53="","",E53+7)</f>
        <v/>
      </c>
      <c r="M53" s="21" t="str">
        <f aca="false">IF(E53="","",E53+21)</f>
        <v/>
      </c>
      <c r="N53" s="15"/>
      <c r="O53" s="23"/>
      <c r="P53" s="15"/>
      <c r="Q53" s="15"/>
    </row>
    <row r="54" customFormat="false" ht="15" hidden="false" customHeight="false" outlineLevel="0" collapsed="false">
      <c r="A54" s="15"/>
      <c r="B54" s="15"/>
      <c r="C54" s="15"/>
      <c r="D54" s="14"/>
      <c r="E54" s="14"/>
      <c r="F54" s="21" t="str">
        <f aca="false">IF(E54="","",E54+30)</f>
        <v/>
      </c>
      <c r="G54" s="21" t="str">
        <f aca="false">IF(D54="","",D54+45)</f>
        <v/>
      </c>
      <c r="H54" s="17" t="str">
        <f aca="true">IF(G54="","",G54-TODAY())</f>
        <v/>
      </c>
      <c r="I54" s="22" t="str">
        <f aca="false">IF(H54="","",IF(OR(P54="Ganho",P54="Perdido"),IF(H54&gt;=0,"Revogar o token",""),IF(H54&lt;0,"Token vencido",IF(H54&lt;=7,"Token vence em breve",""))))</f>
        <v/>
      </c>
      <c r="J54" s="16"/>
      <c r="K54" s="16"/>
      <c r="L54" s="21" t="str">
        <f aca="false">IF(E54="","",E54+7)</f>
        <v/>
      </c>
      <c r="M54" s="21" t="str">
        <f aca="false">IF(E54="","",E54+21)</f>
        <v/>
      </c>
      <c r="N54" s="15"/>
      <c r="O54" s="23"/>
      <c r="P54" s="15"/>
      <c r="Q54" s="15"/>
    </row>
    <row r="55" customFormat="false" ht="15" hidden="false" customHeight="false" outlineLevel="0" collapsed="false">
      <c r="A55" s="15"/>
      <c r="B55" s="15"/>
      <c r="C55" s="15"/>
      <c r="D55" s="14"/>
      <c r="E55" s="14"/>
      <c r="F55" s="21" t="str">
        <f aca="false">IF(E55="","",E55+30)</f>
        <v/>
      </c>
      <c r="G55" s="21" t="str">
        <f aca="false">IF(D55="","",D55+45)</f>
        <v/>
      </c>
      <c r="H55" s="17" t="str">
        <f aca="true">IF(G55="","",G55-TODAY())</f>
        <v/>
      </c>
      <c r="I55" s="22" t="str">
        <f aca="false">IF(H55="","",IF(OR(P55="Ganho",P55="Perdido"),IF(H55&gt;=0,"Revogar o token",""),IF(H55&lt;0,"Token vencido",IF(H55&lt;=7,"Token vence em breve",""))))</f>
        <v/>
      </c>
      <c r="J55" s="16"/>
      <c r="K55" s="16"/>
      <c r="L55" s="21" t="str">
        <f aca="false">IF(E55="","",E55+7)</f>
        <v/>
      </c>
      <c r="M55" s="21" t="str">
        <f aca="false">IF(E55="","",E55+21)</f>
        <v/>
      </c>
      <c r="N55" s="15"/>
      <c r="O55" s="23"/>
      <c r="P55" s="15"/>
      <c r="Q55" s="15"/>
    </row>
    <row r="56" customFormat="false" ht="15" hidden="false" customHeight="false" outlineLevel="0" collapsed="false">
      <c r="A56" s="15"/>
      <c r="B56" s="15"/>
      <c r="C56" s="15"/>
      <c r="D56" s="14"/>
      <c r="E56" s="14"/>
      <c r="F56" s="21" t="str">
        <f aca="false">IF(E56="","",E56+30)</f>
        <v/>
      </c>
      <c r="G56" s="21" t="str">
        <f aca="false">IF(D56="","",D56+45)</f>
        <v/>
      </c>
      <c r="H56" s="17" t="str">
        <f aca="true">IF(G56="","",G56-TODAY())</f>
        <v/>
      </c>
      <c r="I56" s="22" t="str">
        <f aca="false">IF(H56="","",IF(OR(P56="Ganho",P56="Perdido"),IF(H56&gt;=0,"Revogar o token",""),IF(H56&lt;0,"Token vencido",IF(H56&lt;=7,"Token vence em breve",""))))</f>
        <v/>
      </c>
      <c r="J56" s="16"/>
      <c r="K56" s="16"/>
      <c r="L56" s="21" t="str">
        <f aca="false">IF(E56="","",E56+7)</f>
        <v/>
      </c>
      <c r="M56" s="21" t="str">
        <f aca="false">IF(E56="","",E56+21)</f>
        <v/>
      </c>
      <c r="N56" s="15"/>
      <c r="O56" s="23"/>
      <c r="P56" s="15"/>
      <c r="Q56" s="15"/>
    </row>
    <row r="57" customFormat="false" ht="15" hidden="false" customHeight="false" outlineLevel="0" collapsed="false">
      <c r="A57" s="15"/>
      <c r="B57" s="15"/>
      <c r="C57" s="15"/>
      <c r="D57" s="14"/>
      <c r="E57" s="14"/>
      <c r="F57" s="21" t="str">
        <f aca="false">IF(E57="","",E57+30)</f>
        <v/>
      </c>
      <c r="G57" s="21" t="str">
        <f aca="false">IF(D57="","",D57+45)</f>
        <v/>
      </c>
      <c r="H57" s="17" t="str">
        <f aca="true">IF(G57="","",G57-TODAY())</f>
        <v/>
      </c>
      <c r="I57" s="22" t="str">
        <f aca="false">IF(H57="","",IF(OR(P57="Ganho",P57="Perdido"),IF(H57&gt;=0,"Revogar o token",""),IF(H57&lt;0,"Token vencido",IF(H57&lt;=7,"Token vence em breve",""))))</f>
        <v/>
      </c>
      <c r="J57" s="16"/>
      <c r="K57" s="16"/>
      <c r="L57" s="21" t="str">
        <f aca="false">IF(E57="","",E57+7)</f>
        <v/>
      </c>
      <c r="M57" s="21" t="str">
        <f aca="false">IF(E57="","",E57+21)</f>
        <v/>
      </c>
      <c r="N57" s="15"/>
      <c r="O57" s="23"/>
      <c r="P57" s="15"/>
      <c r="Q57" s="15"/>
    </row>
    <row r="58" customFormat="false" ht="15" hidden="false" customHeight="false" outlineLevel="0" collapsed="false">
      <c r="A58" s="15"/>
      <c r="B58" s="15"/>
      <c r="C58" s="15"/>
      <c r="D58" s="14"/>
      <c r="E58" s="14"/>
      <c r="F58" s="21" t="str">
        <f aca="false">IF(E58="","",E58+30)</f>
        <v/>
      </c>
      <c r="G58" s="21" t="str">
        <f aca="false">IF(D58="","",D58+45)</f>
        <v/>
      </c>
      <c r="H58" s="17" t="str">
        <f aca="true">IF(G58="","",G58-TODAY())</f>
        <v/>
      </c>
      <c r="I58" s="22" t="str">
        <f aca="false">IF(H58="","",IF(OR(P58="Ganho",P58="Perdido"),IF(H58&gt;=0,"Revogar o token",""),IF(H58&lt;0,"Token vencido",IF(H58&lt;=7,"Token vence em breve",""))))</f>
        <v/>
      </c>
      <c r="J58" s="16"/>
      <c r="K58" s="16"/>
      <c r="L58" s="21" t="str">
        <f aca="false">IF(E58="","",E58+7)</f>
        <v/>
      </c>
      <c r="M58" s="21" t="str">
        <f aca="false">IF(E58="","",E58+21)</f>
        <v/>
      </c>
      <c r="N58" s="15"/>
      <c r="O58" s="23"/>
      <c r="P58" s="15"/>
      <c r="Q58" s="15"/>
    </row>
    <row r="59" customFormat="false" ht="15" hidden="false" customHeight="false" outlineLevel="0" collapsed="false">
      <c r="A59" s="15"/>
      <c r="B59" s="15"/>
      <c r="C59" s="15"/>
      <c r="D59" s="14"/>
      <c r="E59" s="14"/>
      <c r="F59" s="21" t="str">
        <f aca="false">IF(E59="","",E59+30)</f>
        <v/>
      </c>
      <c r="G59" s="21" t="str">
        <f aca="false">IF(D59="","",D59+45)</f>
        <v/>
      </c>
      <c r="H59" s="17" t="str">
        <f aca="true">IF(G59="","",G59-TODAY())</f>
        <v/>
      </c>
      <c r="I59" s="22" t="str">
        <f aca="false">IF(H59="","",IF(OR(P59="Ganho",P59="Perdido"),IF(H59&gt;=0,"Revogar o token",""),IF(H59&lt;0,"Token vencido",IF(H59&lt;=7,"Token vence em breve",""))))</f>
        <v/>
      </c>
      <c r="J59" s="16"/>
      <c r="K59" s="16"/>
      <c r="L59" s="21" t="str">
        <f aca="false">IF(E59="","",E59+7)</f>
        <v/>
      </c>
      <c r="M59" s="21" t="str">
        <f aca="false">IF(E59="","",E59+21)</f>
        <v/>
      </c>
      <c r="N59" s="15"/>
      <c r="O59" s="23"/>
      <c r="P59" s="15"/>
      <c r="Q59" s="15"/>
    </row>
    <row r="60" customFormat="false" ht="15" hidden="false" customHeight="false" outlineLevel="0" collapsed="false">
      <c r="A60" s="15"/>
      <c r="B60" s="15"/>
      <c r="C60" s="15"/>
      <c r="D60" s="14"/>
      <c r="E60" s="14"/>
      <c r="F60" s="21" t="str">
        <f aca="false">IF(E60="","",E60+30)</f>
        <v/>
      </c>
      <c r="G60" s="21" t="str">
        <f aca="false">IF(D60="","",D60+45)</f>
        <v/>
      </c>
      <c r="H60" s="17" t="str">
        <f aca="true">IF(G60="","",G60-TODAY())</f>
        <v/>
      </c>
      <c r="I60" s="22" t="str">
        <f aca="false">IF(H60="","",IF(OR(P60="Ganho",P60="Perdido"),IF(H60&gt;=0,"Revogar o token",""),IF(H60&lt;0,"Token vencido",IF(H60&lt;=7,"Token vence em breve",""))))</f>
        <v/>
      </c>
      <c r="J60" s="16"/>
      <c r="K60" s="16"/>
      <c r="L60" s="21" t="str">
        <f aca="false">IF(E60="","",E60+7)</f>
        <v/>
      </c>
      <c r="M60" s="21" t="str">
        <f aca="false">IF(E60="","",E60+21)</f>
        <v/>
      </c>
      <c r="N60" s="15"/>
      <c r="O60" s="23"/>
      <c r="P60" s="15"/>
      <c r="Q60" s="15"/>
    </row>
    <row r="61" customFormat="false" ht="15" hidden="false" customHeight="false" outlineLevel="0" collapsed="false">
      <c r="A61" s="15"/>
      <c r="B61" s="15"/>
      <c r="C61" s="15"/>
      <c r="D61" s="14"/>
      <c r="E61" s="14"/>
      <c r="F61" s="21" t="str">
        <f aca="false">IF(E61="","",E61+30)</f>
        <v/>
      </c>
      <c r="G61" s="21" t="str">
        <f aca="false">IF(D61="","",D61+45)</f>
        <v/>
      </c>
      <c r="H61" s="17" t="str">
        <f aca="true">IF(G61="","",G61-TODAY())</f>
        <v/>
      </c>
      <c r="I61" s="22" t="str">
        <f aca="false">IF(H61="","",IF(OR(P61="Ganho",P61="Perdido"),IF(H61&gt;=0,"Revogar o token",""),IF(H61&lt;0,"Token vencido",IF(H61&lt;=7,"Token vence em breve",""))))</f>
        <v/>
      </c>
      <c r="J61" s="16"/>
      <c r="K61" s="16"/>
      <c r="L61" s="21" t="str">
        <f aca="false">IF(E61="","",E61+7)</f>
        <v/>
      </c>
      <c r="M61" s="21" t="str">
        <f aca="false">IF(E61="","",E61+21)</f>
        <v/>
      </c>
      <c r="N61" s="15"/>
      <c r="O61" s="23"/>
      <c r="P61" s="15"/>
      <c r="Q61" s="15"/>
    </row>
    <row r="62" customFormat="false" ht="15" hidden="false" customHeight="false" outlineLevel="0" collapsed="false">
      <c r="A62" s="15"/>
      <c r="B62" s="15"/>
      <c r="C62" s="15"/>
      <c r="D62" s="14"/>
      <c r="E62" s="14"/>
      <c r="F62" s="21" t="str">
        <f aca="false">IF(E62="","",E62+30)</f>
        <v/>
      </c>
      <c r="G62" s="21" t="str">
        <f aca="false">IF(D62="","",D62+45)</f>
        <v/>
      </c>
      <c r="H62" s="17" t="str">
        <f aca="true">IF(G62="","",G62-TODAY())</f>
        <v/>
      </c>
      <c r="I62" s="22" t="str">
        <f aca="false">IF(H62="","",IF(OR(P62="Ganho",P62="Perdido"),IF(H62&gt;=0,"Revogar o token",""),IF(H62&lt;0,"Token vencido",IF(H62&lt;=7,"Token vence em breve",""))))</f>
        <v/>
      </c>
      <c r="J62" s="16"/>
      <c r="K62" s="16"/>
      <c r="L62" s="21" t="str">
        <f aca="false">IF(E62="","",E62+7)</f>
        <v/>
      </c>
      <c r="M62" s="21" t="str">
        <f aca="false">IF(E62="","",E62+21)</f>
        <v/>
      </c>
      <c r="N62" s="15"/>
      <c r="O62" s="23"/>
      <c r="P62" s="15"/>
      <c r="Q62" s="15"/>
    </row>
    <row r="63" customFormat="false" ht="15" hidden="false" customHeight="false" outlineLevel="0" collapsed="false">
      <c r="A63" s="15"/>
      <c r="B63" s="15"/>
      <c r="C63" s="15"/>
      <c r="D63" s="14"/>
      <c r="E63" s="14"/>
      <c r="F63" s="21" t="str">
        <f aca="false">IF(E63="","",E63+30)</f>
        <v/>
      </c>
      <c r="G63" s="21" t="str">
        <f aca="false">IF(D63="","",D63+45)</f>
        <v/>
      </c>
      <c r="H63" s="17" t="str">
        <f aca="true">IF(G63="","",G63-TODAY())</f>
        <v/>
      </c>
      <c r="I63" s="22" t="str">
        <f aca="false">IF(H63="","",IF(OR(P63="Ganho",P63="Perdido"),IF(H63&gt;=0,"Revogar o token",""),IF(H63&lt;0,"Token vencido",IF(H63&lt;=7,"Token vence em breve",""))))</f>
        <v/>
      </c>
      <c r="J63" s="16"/>
      <c r="K63" s="16"/>
      <c r="L63" s="21" t="str">
        <f aca="false">IF(E63="","",E63+7)</f>
        <v/>
      </c>
      <c r="M63" s="21" t="str">
        <f aca="false">IF(E63="","",E63+21)</f>
        <v/>
      </c>
      <c r="N63" s="15"/>
      <c r="O63" s="23"/>
      <c r="P63" s="15"/>
      <c r="Q63" s="15"/>
    </row>
    <row r="64" customFormat="false" ht="15" hidden="false" customHeight="false" outlineLevel="0" collapsed="false">
      <c r="A64" s="15"/>
      <c r="B64" s="15"/>
      <c r="C64" s="15"/>
      <c r="D64" s="14"/>
      <c r="E64" s="14"/>
      <c r="F64" s="21" t="str">
        <f aca="false">IF(E64="","",E64+30)</f>
        <v/>
      </c>
      <c r="G64" s="21" t="str">
        <f aca="false">IF(D64="","",D64+45)</f>
        <v/>
      </c>
      <c r="H64" s="17" t="str">
        <f aca="true">IF(G64="","",G64-TODAY())</f>
        <v/>
      </c>
      <c r="I64" s="22" t="str">
        <f aca="false">IF(H64="","",IF(OR(P64="Ganho",P64="Perdido"),IF(H64&gt;=0,"Revogar o token",""),IF(H64&lt;0,"Token vencido",IF(H64&lt;=7,"Token vence em breve",""))))</f>
        <v/>
      </c>
      <c r="J64" s="16"/>
      <c r="K64" s="16"/>
      <c r="L64" s="21" t="str">
        <f aca="false">IF(E64="","",E64+7)</f>
        <v/>
      </c>
      <c r="M64" s="21" t="str">
        <f aca="false">IF(E64="","",E64+21)</f>
        <v/>
      </c>
      <c r="N64" s="15"/>
      <c r="O64" s="23"/>
      <c r="P64" s="15"/>
      <c r="Q64" s="15"/>
    </row>
    <row r="65" customFormat="false" ht="15" hidden="false" customHeight="false" outlineLevel="0" collapsed="false">
      <c r="A65" s="15"/>
      <c r="B65" s="15"/>
      <c r="C65" s="15"/>
      <c r="D65" s="14"/>
      <c r="E65" s="14"/>
      <c r="F65" s="21" t="str">
        <f aca="false">IF(E65="","",E65+30)</f>
        <v/>
      </c>
      <c r="G65" s="21" t="str">
        <f aca="false">IF(D65="","",D65+45)</f>
        <v/>
      </c>
      <c r="H65" s="17" t="str">
        <f aca="true">IF(G65="","",G65-TODAY())</f>
        <v/>
      </c>
      <c r="I65" s="22" t="str">
        <f aca="false">IF(H65="","",IF(OR(P65="Ganho",P65="Perdido"),IF(H65&gt;=0,"Revogar o token",""),IF(H65&lt;0,"Token vencido",IF(H65&lt;=7,"Token vence em breve",""))))</f>
        <v/>
      </c>
      <c r="J65" s="16"/>
      <c r="K65" s="16"/>
      <c r="L65" s="21" t="str">
        <f aca="false">IF(E65="","",E65+7)</f>
        <v/>
      </c>
      <c r="M65" s="21" t="str">
        <f aca="false">IF(E65="","",E65+21)</f>
        <v/>
      </c>
      <c r="N65" s="15"/>
      <c r="O65" s="23"/>
      <c r="P65" s="15"/>
      <c r="Q65" s="15"/>
    </row>
    <row r="66" customFormat="false" ht="15" hidden="false" customHeight="false" outlineLevel="0" collapsed="false">
      <c r="A66" s="15"/>
      <c r="B66" s="15"/>
      <c r="C66" s="15"/>
      <c r="D66" s="14"/>
      <c r="E66" s="14"/>
      <c r="F66" s="21" t="str">
        <f aca="false">IF(E66="","",E66+30)</f>
        <v/>
      </c>
      <c r="G66" s="21" t="str">
        <f aca="false">IF(D66="","",D66+45)</f>
        <v/>
      </c>
      <c r="H66" s="17" t="str">
        <f aca="true">IF(G66="","",G66-TODAY())</f>
        <v/>
      </c>
      <c r="I66" s="22" t="str">
        <f aca="false">IF(H66="","",IF(OR(P66="Ganho",P66="Perdido"),IF(H66&gt;=0,"Revogar o token",""),IF(H66&lt;0,"Token vencido",IF(H66&lt;=7,"Token vence em breve",""))))</f>
        <v/>
      </c>
      <c r="J66" s="16"/>
      <c r="K66" s="16"/>
      <c r="L66" s="21" t="str">
        <f aca="false">IF(E66="","",E66+7)</f>
        <v/>
      </c>
      <c r="M66" s="21" t="str">
        <f aca="false">IF(E66="","",E66+21)</f>
        <v/>
      </c>
      <c r="N66" s="15"/>
      <c r="O66" s="23"/>
      <c r="P66" s="15"/>
      <c r="Q66" s="15"/>
    </row>
    <row r="67" customFormat="false" ht="15" hidden="false" customHeight="false" outlineLevel="0" collapsed="false">
      <c r="A67" s="15"/>
      <c r="B67" s="15"/>
      <c r="C67" s="15"/>
      <c r="D67" s="14"/>
      <c r="E67" s="14"/>
      <c r="F67" s="21" t="str">
        <f aca="false">IF(E67="","",E67+30)</f>
        <v/>
      </c>
      <c r="G67" s="21" t="str">
        <f aca="false">IF(D67="","",D67+45)</f>
        <v/>
      </c>
      <c r="H67" s="17" t="str">
        <f aca="true">IF(G67="","",G67-TODAY())</f>
        <v/>
      </c>
      <c r="I67" s="22" t="str">
        <f aca="false">IF(H67="","",IF(OR(P67="Ganho",P67="Perdido"),IF(H67&gt;=0,"Revogar o token",""),IF(H67&lt;0,"Token vencido",IF(H67&lt;=7,"Token vence em breve",""))))</f>
        <v/>
      </c>
      <c r="J67" s="16"/>
      <c r="K67" s="16"/>
      <c r="L67" s="21" t="str">
        <f aca="false">IF(E67="","",E67+7)</f>
        <v/>
      </c>
      <c r="M67" s="21" t="str">
        <f aca="false">IF(E67="","",E67+21)</f>
        <v/>
      </c>
      <c r="N67" s="15"/>
      <c r="O67" s="23"/>
      <c r="P67" s="15"/>
      <c r="Q67" s="15"/>
    </row>
    <row r="68" customFormat="false" ht="15" hidden="false" customHeight="false" outlineLevel="0" collapsed="false">
      <c r="A68" s="15"/>
      <c r="B68" s="15"/>
      <c r="C68" s="15"/>
      <c r="D68" s="14"/>
      <c r="E68" s="14"/>
      <c r="F68" s="21" t="str">
        <f aca="false">IF(E68="","",E68+30)</f>
        <v/>
      </c>
      <c r="G68" s="21" t="str">
        <f aca="false">IF(D68="","",D68+45)</f>
        <v/>
      </c>
      <c r="H68" s="17" t="str">
        <f aca="true">IF(G68="","",G68-TODAY())</f>
        <v/>
      </c>
      <c r="I68" s="22" t="str">
        <f aca="false">IF(H68="","",IF(OR(P68="Ganho",P68="Perdido"),IF(H68&gt;=0,"Revogar o token",""),IF(H68&lt;0,"Token vencido",IF(H68&lt;=7,"Token vence em breve",""))))</f>
        <v/>
      </c>
      <c r="J68" s="16"/>
      <c r="K68" s="16"/>
      <c r="L68" s="21" t="str">
        <f aca="false">IF(E68="","",E68+7)</f>
        <v/>
      </c>
      <c r="M68" s="21" t="str">
        <f aca="false">IF(E68="","",E68+21)</f>
        <v/>
      </c>
      <c r="N68" s="15"/>
      <c r="O68" s="23"/>
      <c r="P68" s="15"/>
      <c r="Q68" s="15"/>
    </row>
    <row r="69" customFormat="false" ht="15" hidden="false" customHeight="false" outlineLevel="0" collapsed="false">
      <c r="A69" s="15"/>
      <c r="B69" s="15"/>
      <c r="C69" s="15"/>
      <c r="D69" s="14"/>
      <c r="E69" s="14"/>
      <c r="F69" s="21" t="str">
        <f aca="false">IF(E69="","",E69+30)</f>
        <v/>
      </c>
      <c r="G69" s="21" t="str">
        <f aca="false">IF(D69="","",D69+45)</f>
        <v/>
      </c>
      <c r="H69" s="17" t="str">
        <f aca="true">IF(G69="","",G69-TODAY())</f>
        <v/>
      </c>
      <c r="I69" s="22" t="str">
        <f aca="false">IF(H69="","",IF(OR(P69="Ganho",P69="Perdido"),IF(H69&gt;=0,"Revogar o token",""),IF(H69&lt;0,"Token vencido",IF(H69&lt;=7,"Token vence em breve",""))))</f>
        <v/>
      </c>
      <c r="J69" s="16"/>
      <c r="K69" s="16"/>
      <c r="L69" s="21" t="str">
        <f aca="false">IF(E69="","",E69+7)</f>
        <v/>
      </c>
      <c r="M69" s="21" t="str">
        <f aca="false">IF(E69="","",E69+21)</f>
        <v/>
      </c>
      <c r="N69" s="15"/>
      <c r="O69" s="23"/>
      <c r="P69" s="15"/>
      <c r="Q69" s="15"/>
    </row>
    <row r="70" customFormat="false" ht="15" hidden="false" customHeight="false" outlineLevel="0" collapsed="false">
      <c r="A70" s="15"/>
      <c r="B70" s="15"/>
      <c r="C70" s="15"/>
      <c r="D70" s="14"/>
      <c r="E70" s="14"/>
      <c r="F70" s="21" t="str">
        <f aca="false">IF(E70="","",E70+30)</f>
        <v/>
      </c>
      <c r="G70" s="21" t="str">
        <f aca="false">IF(D70="","",D70+45)</f>
        <v/>
      </c>
      <c r="H70" s="17" t="str">
        <f aca="true">IF(G70="","",G70-TODAY())</f>
        <v/>
      </c>
      <c r="I70" s="22" t="str">
        <f aca="false">IF(H70="","",IF(OR(P70="Ganho",P70="Perdido"),IF(H70&gt;=0,"Revogar o token",""),IF(H70&lt;0,"Token vencido",IF(H70&lt;=7,"Token vence em breve",""))))</f>
        <v/>
      </c>
      <c r="J70" s="16"/>
      <c r="K70" s="16"/>
      <c r="L70" s="21" t="str">
        <f aca="false">IF(E70="","",E70+7)</f>
        <v/>
      </c>
      <c r="M70" s="21" t="str">
        <f aca="false">IF(E70="","",E70+21)</f>
        <v/>
      </c>
      <c r="N70" s="15"/>
      <c r="O70" s="23"/>
      <c r="P70" s="15"/>
      <c r="Q70" s="15"/>
    </row>
    <row r="71" customFormat="false" ht="15" hidden="false" customHeight="false" outlineLevel="0" collapsed="false">
      <c r="A71" s="15"/>
      <c r="B71" s="15"/>
      <c r="C71" s="15"/>
      <c r="D71" s="14"/>
      <c r="E71" s="14"/>
      <c r="F71" s="21" t="str">
        <f aca="false">IF(E71="","",E71+30)</f>
        <v/>
      </c>
      <c r="G71" s="21" t="str">
        <f aca="false">IF(D71="","",D71+45)</f>
        <v/>
      </c>
      <c r="H71" s="17" t="str">
        <f aca="true">IF(G71="","",G71-TODAY())</f>
        <v/>
      </c>
      <c r="I71" s="22" t="str">
        <f aca="false">IF(H71="","",IF(OR(P71="Ganho",P71="Perdido"),IF(H71&gt;=0,"Revogar o token",""),IF(H71&lt;0,"Token vencido",IF(H71&lt;=7,"Token vence em breve",""))))</f>
        <v/>
      </c>
      <c r="J71" s="16"/>
      <c r="K71" s="16"/>
      <c r="L71" s="21" t="str">
        <f aca="false">IF(E71="","",E71+7)</f>
        <v/>
      </c>
      <c r="M71" s="21" t="str">
        <f aca="false">IF(E71="","",E71+21)</f>
        <v/>
      </c>
      <c r="N71" s="15"/>
      <c r="O71" s="23"/>
      <c r="P71" s="15"/>
      <c r="Q71" s="15"/>
    </row>
    <row r="72" customFormat="false" ht="15" hidden="false" customHeight="false" outlineLevel="0" collapsed="false">
      <c r="A72" s="15"/>
      <c r="B72" s="15"/>
      <c r="C72" s="15"/>
      <c r="D72" s="14"/>
      <c r="E72" s="14"/>
      <c r="F72" s="21" t="str">
        <f aca="false">IF(E72="","",E72+30)</f>
        <v/>
      </c>
      <c r="G72" s="21" t="str">
        <f aca="false">IF(D72="","",D72+45)</f>
        <v/>
      </c>
      <c r="H72" s="17" t="str">
        <f aca="true">IF(G72="","",G72-TODAY())</f>
        <v/>
      </c>
      <c r="I72" s="22" t="str">
        <f aca="false">IF(H72="","",IF(OR(P72="Ganho",P72="Perdido"),IF(H72&gt;=0,"Revogar o token",""),IF(H72&lt;0,"Token vencido",IF(H72&lt;=7,"Token vence em breve",""))))</f>
        <v/>
      </c>
      <c r="J72" s="16"/>
      <c r="K72" s="16"/>
      <c r="L72" s="21" t="str">
        <f aca="false">IF(E72="","",E72+7)</f>
        <v/>
      </c>
      <c r="M72" s="21" t="str">
        <f aca="false">IF(E72="","",E72+21)</f>
        <v/>
      </c>
      <c r="N72" s="15"/>
      <c r="O72" s="23"/>
      <c r="P72" s="15"/>
      <c r="Q72" s="15"/>
    </row>
    <row r="73" customFormat="false" ht="15" hidden="false" customHeight="false" outlineLevel="0" collapsed="false">
      <c r="A73" s="15"/>
      <c r="B73" s="15"/>
      <c r="C73" s="15"/>
      <c r="D73" s="14"/>
      <c r="E73" s="14"/>
      <c r="F73" s="21" t="str">
        <f aca="false">IF(E73="","",E73+30)</f>
        <v/>
      </c>
      <c r="G73" s="21" t="str">
        <f aca="false">IF(D73="","",D73+45)</f>
        <v/>
      </c>
      <c r="H73" s="17" t="str">
        <f aca="true">IF(G73="","",G73-TODAY())</f>
        <v/>
      </c>
      <c r="I73" s="22" t="str">
        <f aca="false">IF(H73="","",IF(OR(P73="Ganho",P73="Perdido"),IF(H73&gt;=0,"Revogar o token",""),IF(H73&lt;0,"Token vencido",IF(H73&lt;=7,"Token vence em breve",""))))</f>
        <v/>
      </c>
      <c r="J73" s="16"/>
      <c r="K73" s="16"/>
      <c r="L73" s="21" t="str">
        <f aca="false">IF(E73="","",E73+7)</f>
        <v/>
      </c>
      <c r="M73" s="21" t="str">
        <f aca="false">IF(E73="","",E73+21)</f>
        <v/>
      </c>
      <c r="N73" s="15"/>
      <c r="O73" s="23"/>
      <c r="P73" s="15"/>
      <c r="Q73" s="15"/>
    </row>
    <row r="74" customFormat="false" ht="15" hidden="false" customHeight="false" outlineLevel="0" collapsed="false">
      <c r="A74" s="15"/>
      <c r="B74" s="15"/>
      <c r="C74" s="15"/>
      <c r="D74" s="14"/>
      <c r="E74" s="14"/>
      <c r="F74" s="21" t="str">
        <f aca="false">IF(E74="","",E74+30)</f>
        <v/>
      </c>
      <c r="G74" s="21" t="str">
        <f aca="false">IF(D74="","",D74+45)</f>
        <v/>
      </c>
      <c r="H74" s="17" t="str">
        <f aca="true">IF(G74="","",G74-TODAY())</f>
        <v/>
      </c>
      <c r="I74" s="22" t="str">
        <f aca="false">IF(H74="","",IF(OR(P74="Ganho",P74="Perdido"),IF(H74&gt;=0,"Revogar o token",""),IF(H74&lt;0,"Token vencido",IF(H74&lt;=7,"Token vence em breve",""))))</f>
        <v/>
      </c>
      <c r="J74" s="16"/>
      <c r="K74" s="16"/>
      <c r="L74" s="21" t="str">
        <f aca="false">IF(E74="","",E74+7)</f>
        <v/>
      </c>
      <c r="M74" s="21" t="str">
        <f aca="false">IF(E74="","",E74+21)</f>
        <v/>
      </c>
      <c r="N74" s="15"/>
      <c r="O74" s="23"/>
      <c r="P74" s="15"/>
      <c r="Q74" s="15"/>
    </row>
    <row r="75" customFormat="false" ht="15" hidden="false" customHeight="false" outlineLevel="0" collapsed="false">
      <c r="A75" s="15"/>
      <c r="B75" s="15"/>
      <c r="C75" s="15"/>
      <c r="D75" s="14"/>
      <c r="E75" s="14"/>
      <c r="F75" s="21" t="str">
        <f aca="false">IF(E75="","",E75+30)</f>
        <v/>
      </c>
      <c r="G75" s="21" t="str">
        <f aca="false">IF(D75="","",D75+45)</f>
        <v/>
      </c>
      <c r="H75" s="17" t="str">
        <f aca="true">IF(G75="","",G75-TODAY())</f>
        <v/>
      </c>
      <c r="I75" s="22" t="str">
        <f aca="false">IF(H75="","",IF(OR(P75="Ganho",P75="Perdido"),IF(H75&gt;=0,"Revogar o token",""),IF(H75&lt;0,"Token vencido",IF(H75&lt;=7,"Token vence em breve",""))))</f>
        <v/>
      </c>
      <c r="J75" s="16"/>
      <c r="K75" s="16"/>
      <c r="L75" s="21" t="str">
        <f aca="false">IF(E75="","",E75+7)</f>
        <v/>
      </c>
      <c r="M75" s="21" t="str">
        <f aca="false">IF(E75="","",E75+21)</f>
        <v/>
      </c>
      <c r="N75" s="15"/>
      <c r="O75" s="23"/>
      <c r="P75" s="15"/>
      <c r="Q75" s="15"/>
    </row>
    <row r="76" customFormat="false" ht="15" hidden="false" customHeight="false" outlineLevel="0" collapsed="false">
      <c r="A76" s="15"/>
      <c r="B76" s="15"/>
      <c r="C76" s="15"/>
      <c r="D76" s="14"/>
      <c r="E76" s="14"/>
      <c r="F76" s="21" t="str">
        <f aca="false">IF(E76="","",E76+30)</f>
        <v/>
      </c>
      <c r="G76" s="21" t="str">
        <f aca="false">IF(D76="","",D76+45)</f>
        <v/>
      </c>
      <c r="H76" s="17" t="str">
        <f aca="true">IF(G76="","",G76-TODAY())</f>
        <v/>
      </c>
      <c r="I76" s="22" t="str">
        <f aca="false">IF(H76="","",IF(OR(P76="Ganho",P76="Perdido"),IF(H76&gt;=0,"Revogar o token",""),IF(H76&lt;0,"Token vencido",IF(H76&lt;=7,"Token vence em breve",""))))</f>
        <v/>
      </c>
      <c r="J76" s="16"/>
      <c r="K76" s="16"/>
      <c r="L76" s="21" t="str">
        <f aca="false">IF(E76="","",E76+7)</f>
        <v/>
      </c>
      <c r="M76" s="21" t="str">
        <f aca="false">IF(E76="","",E76+21)</f>
        <v/>
      </c>
      <c r="N76" s="15"/>
      <c r="O76" s="23"/>
      <c r="P76" s="15"/>
      <c r="Q76" s="15"/>
    </row>
    <row r="77" customFormat="false" ht="15" hidden="false" customHeight="false" outlineLevel="0" collapsed="false">
      <c r="A77" s="15"/>
      <c r="B77" s="15"/>
      <c r="C77" s="15"/>
      <c r="D77" s="14"/>
      <c r="E77" s="14"/>
      <c r="F77" s="21" t="str">
        <f aca="false">IF(E77="","",E77+30)</f>
        <v/>
      </c>
      <c r="G77" s="21" t="str">
        <f aca="false">IF(D77="","",D77+45)</f>
        <v/>
      </c>
      <c r="H77" s="17" t="str">
        <f aca="true">IF(G77="","",G77-TODAY())</f>
        <v/>
      </c>
      <c r="I77" s="22" t="str">
        <f aca="false">IF(H77="","",IF(OR(P77="Ganho",P77="Perdido"),IF(H77&gt;=0,"Revogar o token",""),IF(H77&lt;0,"Token vencido",IF(H77&lt;=7,"Token vence em breve",""))))</f>
        <v/>
      </c>
      <c r="J77" s="16"/>
      <c r="K77" s="16"/>
      <c r="L77" s="21" t="str">
        <f aca="false">IF(E77="","",E77+7)</f>
        <v/>
      </c>
      <c r="M77" s="21" t="str">
        <f aca="false">IF(E77="","",E77+21)</f>
        <v/>
      </c>
      <c r="N77" s="15"/>
      <c r="O77" s="23"/>
      <c r="P77" s="15"/>
      <c r="Q77" s="15"/>
    </row>
    <row r="78" customFormat="false" ht="15" hidden="false" customHeight="false" outlineLevel="0" collapsed="false">
      <c r="A78" s="15"/>
      <c r="B78" s="15"/>
      <c r="C78" s="15"/>
      <c r="D78" s="14"/>
      <c r="E78" s="14"/>
      <c r="F78" s="21" t="str">
        <f aca="false">IF(E78="","",E78+30)</f>
        <v/>
      </c>
      <c r="G78" s="21" t="str">
        <f aca="false">IF(D78="","",D78+45)</f>
        <v/>
      </c>
      <c r="H78" s="17" t="str">
        <f aca="true">IF(G78="","",G78-TODAY())</f>
        <v/>
      </c>
      <c r="I78" s="22" t="str">
        <f aca="false">IF(H78="","",IF(OR(P78="Ganho",P78="Perdido"),IF(H78&gt;=0,"Revogar o token",""),IF(H78&lt;0,"Token vencido",IF(H78&lt;=7,"Token vence em breve",""))))</f>
        <v/>
      </c>
      <c r="J78" s="16"/>
      <c r="K78" s="16"/>
      <c r="L78" s="21" t="str">
        <f aca="false">IF(E78="","",E78+7)</f>
        <v/>
      </c>
      <c r="M78" s="21" t="str">
        <f aca="false">IF(E78="","",E78+21)</f>
        <v/>
      </c>
      <c r="N78" s="15"/>
      <c r="O78" s="23"/>
      <c r="P78" s="15"/>
      <c r="Q78" s="15"/>
    </row>
    <row r="79" customFormat="false" ht="15" hidden="false" customHeight="false" outlineLevel="0" collapsed="false">
      <c r="A79" s="15"/>
      <c r="B79" s="15"/>
      <c r="C79" s="15"/>
      <c r="D79" s="14"/>
      <c r="E79" s="14"/>
      <c r="F79" s="21" t="str">
        <f aca="false">IF(E79="","",E79+30)</f>
        <v/>
      </c>
      <c r="G79" s="21" t="str">
        <f aca="false">IF(D79="","",D79+45)</f>
        <v/>
      </c>
      <c r="H79" s="17" t="str">
        <f aca="true">IF(G79="","",G79-TODAY())</f>
        <v/>
      </c>
      <c r="I79" s="22" t="str">
        <f aca="false">IF(H79="","",IF(OR(P79="Ganho",P79="Perdido"),IF(H79&gt;=0,"Revogar o token",""),IF(H79&lt;0,"Token vencido",IF(H79&lt;=7,"Token vence em breve",""))))</f>
        <v/>
      </c>
      <c r="J79" s="16"/>
      <c r="K79" s="16"/>
      <c r="L79" s="21" t="str">
        <f aca="false">IF(E79="","",E79+7)</f>
        <v/>
      </c>
      <c r="M79" s="21" t="str">
        <f aca="false">IF(E79="","",E79+21)</f>
        <v/>
      </c>
      <c r="N79" s="15"/>
      <c r="O79" s="23"/>
      <c r="P79" s="15"/>
      <c r="Q79" s="15"/>
    </row>
    <row r="80" customFormat="false" ht="15" hidden="false" customHeight="false" outlineLevel="0" collapsed="false">
      <c r="A80" s="15"/>
      <c r="B80" s="15"/>
      <c r="C80" s="15"/>
      <c r="D80" s="14"/>
      <c r="E80" s="14"/>
      <c r="F80" s="21" t="str">
        <f aca="false">IF(E80="","",E80+30)</f>
        <v/>
      </c>
      <c r="G80" s="21" t="str">
        <f aca="false">IF(D80="","",D80+45)</f>
        <v/>
      </c>
      <c r="H80" s="17" t="str">
        <f aca="true">IF(G80="","",G80-TODAY())</f>
        <v/>
      </c>
      <c r="I80" s="22" t="str">
        <f aca="false">IF(H80="","",IF(OR(P80="Ganho",P80="Perdido"),IF(H80&gt;=0,"Revogar o token",""),IF(H80&lt;0,"Token vencido",IF(H80&lt;=7,"Token vence em breve",""))))</f>
        <v/>
      </c>
      <c r="J80" s="16"/>
      <c r="K80" s="16"/>
      <c r="L80" s="21" t="str">
        <f aca="false">IF(E80="","",E80+7)</f>
        <v/>
      </c>
      <c r="M80" s="21" t="str">
        <f aca="false">IF(E80="","",E80+21)</f>
        <v/>
      </c>
      <c r="N80" s="15"/>
      <c r="O80" s="23"/>
      <c r="P80" s="15"/>
      <c r="Q80" s="15"/>
    </row>
    <row r="81" customFormat="false" ht="15" hidden="false" customHeight="false" outlineLevel="0" collapsed="false">
      <c r="A81" s="15"/>
      <c r="B81" s="15"/>
      <c r="C81" s="15"/>
      <c r="D81" s="14"/>
      <c r="E81" s="14"/>
      <c r="F81" s="21" t="str">
        <f aca="false">IF(E81="","",E81+30)</f>
        <v/>
      </c>
      <c r="G81" s="21" t="str">
        <f aca="false">IF(D81="","",D81+45)</f>
        <v/>
      </c>
      <c r="H81" s="17" t="str">
        <f aca="true">IF(G81="","",G81-TODAY())</f>
        <v/>
      </c>
      <c r="I81" s="22" t="str">
        <f aca="false">IF(H81="","",IF(OR(P81="Ganho",P81="Perdido"),IF(H81&gt;=0,"Revogar o token",""),IF(H81&lt;0,"Token vencido",IF(H81&lt;=7,"Token vence em breve",""))))</f>
        <v/>
      </c>
      <c r="J81" s="16"/>
      <c r="K81" s="16"/>
      <c r="L81" s="21" t="str">
        <f aca="false">IF(E81="","",E81+7)</f>
        <v/>
      </c>
      <c r="M81" s="21" t="str">
        <f aca="false">IF(E81="","",E81+21)</f>
        <v/>
      </c>
      <c r="N81" s="15"/>
      <c r="O81" s="23"/>
      <c r="P81" s="15"/>
      <c r="Q81" s="15"/>
    </row>
    <row r="82" customFormat="false" ht="15" hidden="false" customHeight="false" outlineLevel="0" collapsed="false">
      <c r="A82" s="15"/>
      <c r="B82" s="15"/>
      <c r="C82" s="15"/>
      <c r="D82" s="14"/>
      <c r="E82" s="14"/>
      <c r="F82" s="21" t="str">
        <f aca="false">IF(E82="","",E82+30)</f>
        <v/>
      </c>
      <c r="G82" s="21" t="str">
        <f aca="false">IF(D82="","",D82+45)</f>
        <v/>
      </c>
      <c r="H82" s="17" t="str">
        <f aca="true">IF(G82="","",G82-TODAY())</f>
        <v/>
      </c>
      <c r="I82" s="22" t="str">
        <f aca="false">IF(H82="","",IF(OR(P82="Ganho",P82="Perdido"),IF(H82&gt;=0,"Revogar o token",""),IF(H82&lt;0,"Token vencido",IF(H82&lt;=7,"Token vence em breve",""))))</f>
        <v/>
      </c>
      <c r="J82" s="16"/>
      <c r="K82" s="16"/>
      <c r="L82" s="21" t="str">
        <f aca="false">IF(E82="","",E82+7)</f>
        <v/>
      </c>
      <c r="M82" s="21" t="str">
        <f aca="false">IF(E82="","",E82+21)</f>
        <v/>
      </c>
      <c r="N82" s="15"/>
      <c r="O82" s="23"/>
      <c r="P82" s="15"/>
      <c r="Q82" s="15"/>
    </row>
    <row r="83" customFormat="false" ht="15" hidden="false" customHeight="false" outlineLevel="0" collapsed="false">
      <c r="A83" s="15"/>
      <c r="B83" s="15"/>
      <c r="C83" s="15"/>
      <c r="D83" s="14"/>
      <c r="E83" s="14"/>
      <c r="F83" s="21" t="str">
        <f aca="false">IF(E83="","",E83+30)</f>
        <v/>
      </c>
      <c r="G83" s="21" t="str">
        <f aca="false">IF(D83="","",D83+45)</f>
        <v/>
      </c>
      <c r="H83" s="17" t="str">
        <f aca="true">IF(G83="","",G83-TODAY())</f>
        <v/>
      </c>
      <c r="I83" s="22" t="str">
        <f aca="false">IF(H83="","",IF(OR(P83="Ganho",P83="Perdido"),IF(H83&gt;=0,"Revogar o token",""),IF(H83&lt;0,"Token vencido",IF(H83&lt;=7,"Token vence em breve",""))))</f>
        <v/>
      </c>
      <c r="J83" s="16"/>
      <c r="K83" s="16"/>
      <c r="L83" s="21" t="str">
        <f aca="false">IF(E83="","",E83+7)</f>
        <v/>
      </c>
      <c r="M83" s="21" t="str">
        <f aca="false">IF(E83="","",E83+21)</f>
        <v/>
      </c>
      <c r="N83" s="15"/>
      <c r="O83" s="23"/>
      <c r="P83" s="15"/>
      <c r="Q83" s="15"/>
    </row>
    <row r="84" customFormat="false" ht="15" hidden="false" customHeight="false" outlineLevel="0" collapsed="false">
      <c r="A84" s="15"/>
      <c r="B84" s="15"/>
      <c r="C84" s="15"/>
      <c r="D84" s="14"/>
      <c r="E84" s="14"/>
      <c r="F84" s="21" t="str">
        <f aca="false">IF(E84="","",E84+30)</f>
        <v/>
      </c>
      <c r="G84" s="21" t="str">
        <f aca="false">IF(D84="","",D84+45)</f>
        <v/>
      </c>
      <c r="H84" s="17" t="str">
        <f aca="true">IF(G84="","",G84-TODAY())</f>
        <v/>
      </c>
      <c r="I84" s="22" t="str">
        <f aca="false">IF(H84="","",IF(OR(P84="Ganho",P84="Perdido"),IF(H84&gt;=0,"Revogar o token",""),IF(H84&lt;0,"Token vencido",IF(H84&lt;=7,"Token vence em breve",""))))</f>
        <v/>
      </c>
      <c r="J84" s="16"/>
      <c r="K84" s="16"/>
      <c r="L84" s="21" t="str">
        <f aca="false">IF(E84="","",E84+7)</f>
        <v/>
      </c>
      <c r="M84" s="21" t="str">
        <f aca="false">IF(E84="","",E84+21)</f>
        <v/>
      </c>
      <c r="N84" s="15"/>
      <c r="O84" s="23"/>
      <c r="P84" s="15"/>
      <c r="Q84" s="15"/>
    </row>
    <row r="85" customFormat="false" ht="15" hidden="false" customHeight="false" outlineLevel="0" collapsed="false">
      <c r="A85" s="15"/>
      <c r="B85" s="15"/>
      <c r="C85" s="15"/>
      <c r="D85" s="14"/>
      <c r="E85" s="14"/>
      <c r="F85" s="21" t="str">
        <f aca="false">IF(E85="","",E85+30)</f>
        <v/>
      </c>
      <c r="G85" s="21" t="str">
        <f aca="false">IF(D85="","",D85+45)</f>
        <v/>
      </c>
      <c r="H85" s="17" t="str">
        <f aca="true">IF(G85="","",G85-TODAY())</f>
        <v/>
      </c>
      <c r="I85" s="22" t="str">
        <f aca="false">IF(H85="","",IF(OR(P85="Ganho",P85="Perdido"),IF(H85&gt;=0,"Revogar o token",""),IF(H85&lt;0,"Token vencido",IF(H85&lt;=7,"Token vence em breve",""))))</f>
        <v/>
      </c>
      <c r="J85" s="16"/>
      <c r="K85" s="16"/>
      <c r="L85" s="21" t="str">
        <f aca="false">IF(E85="","",E85+7)</f>
        <v/>
      </c>
      <c r="M85" s="21" t="str">
        <f aca="false">IF(E85="","",E85+21)</f>
        <v/>
      </c>
      <c r="N85" s="15"/>
      <c r="O85" s="23"/>
      <c r="P85" s="15"/>
      <c r="Q85" s="15"/>
    </row>
    <row r="86" customFormat="false" ht="15" hidden="false" customHeight="false" outlineLevel="0" collapsed="false">
      <c r="A86" s="15"/>
      <c r="B86" s="15"/>
      <c r="C86" s="15"/>
      <c r="D86" s="14"/>
      <c r="E86" s="14"/>
      <c r="F86" s="21" t="str">
        <f aca="false">IF(E86="","",E86+30)</f>
        <v/>
      </c>
      <c r="G86" s="21" t="str">
        <f aca="false">IF(D86="","",D86+45)</f>
        <v/>
      </c>
      <c r="H86" s="17" t="str">
        <f aca="true">IF(G86="","",G86-TODAY())</f>
        <v/>
      </c>
      <c r="I86" s="22" t="str">
        <f aca="false">IF(H86="","",IF(OR(P86="Ganho",P86="Perdido"),IF(H86&gt;=0,"Revogar o token",""),IF(H86&lt;0,"Token vencido",IF(H86&lt;=7,"Token vence em breve",""))))</f>
        <v/>
      </c>
      <c r="J86" s="16"/>
      <c r="K86" s="16"/>
      <c r="L86" s="21" t="str">
        <f aca="false">IF(E86="","",E86+7)</f>
        <v/>
      </c>
      <c r="M86" s="21" t="str">
        <f aca="false">IF(E86="","",E86+21)</f>
        <v/>
      </c>
      <c r="N86" s="15"/>
      <c r="O86" s="23"/>
      <c r="P86" s="15"/>
      <c r="Q86" s="15"/>
    </row>
    <row r="87" customFormat="false" ht="15" hidden="false" customHeight="false" outlineLevel="0" collapsed="false">
      <c r="A87" s="15"/>
      <c r="B87" s="15"/>
      <c r="C87" s="15"/>
      <c r="D87" s="14"/>
      <c r="E87" s="14"/>
      <c r="F87" s="21" t="str">
        <f aca="false">IF(E87="","",E87+30)</f>
        <v/>
      </c>
      <c r="G87" s="21" t="str">
        <f aca="false">IF(D87="","",D87+45)</f>
        <v/>
      </c>
      <c r="H87" s="17" t="str">
        <f aca="true">IF(G87="","",G87-TODAY())</f>
        <v/>
      </c>
      <c r="I87" s="22" t="str">
        <f aca="false">IF(H87="","",IF(OR(P87="Ganho",P87="Perdido"),IF(H87&gt;=0,"Revogar o token",""),IF(H87&lt;0,"Token vencido",IF(H87&lt;=7,"Token vence em breve",""))))</f>
        <v/>
      </c>
      <c r="J87" s="16"/>
      <c r="K87" s="16"/>
      <c r="L87" s="21" t="str">
        <f aca="false">IF(E87="","",E87+7)</f>
        <v/>
      </c>
      <c r="M87" s="21" t="str">
        <f aca="false">IF(E87="","",E87+21)</f>
        <v/>
      </c>
      <c r="N87" s="15"/>
      <c r="O87" s="23"/>
      <c r="P87" s="15"/>
      <c r="Q87" s="15"/>
    </row>
    <row r="88" customFormat="false" ht="15" hidden="false" customHeight="false" outlineLevel="0" collapsed="false">
      <c r="A88" s="15"/>
      <c r="B88" s="15"/>
      <c r="C88" s="15"/>
      <c r="D88" s="14"/>
      <c r="E88" s="14"/>
      <c r="F88" s="21" t="str">
        <f aca="false">IF(E88="","",E88+30)</f>
        <v/>
      </c>
      <c r="G88" s="21" t="str">
        <f aca="false">IF(D88="","",D88+45)</f>
        <v/>
      </c>
      <c r="H88" s="17" t="str">
        <f aca="true">IF(G88="","",G88-TODAY())</f>
        <v/>
      </c>
      <c r="I88" s="22" t="str">
        <f aca="false">IF(H88="","",IF(OR(P88="Ganho",P88="Perdido"),IF(H88&gt;=0,"Revogar o token",""),IF(H88&lt;0,"Token vencido",IF(H88&lt;=7,"Token vence em breve",""))))</f>
        <v/>
      </c>
      <c r="J88" s="16"/>
      <c r="K88" s="16"/>
      <c r="L88" s="21" t="str">
        <f aca="false">IF(E88="","",E88+7)</f>
        <v/>
      </c>
      <c r="M88" s="21" t="str">
        <f aca="false">IF(E88="","",E88+21)</f>
        <v/>
      </c>
      <c r="N88" s="15"/>
      <c r="O88" s="23"/>
      <c r="P88" s="15"/>
      <c r="Q88" s="15"/>
    </row>
    <row r="89" customFormat="false" ht="15" hidden="false" customHeight="false" outlineLevel="0" collapsed="false">
      <c r="A89" s="15"/>
      <c r="B89" s="15"/>
      <c r="C89" s="15"/>
      <c r="D89" s="14"/>
      <c r="E89" s="14"/>
      <c r="F89" s="21" t="str">
        <f aca="false">IF(E89="","",E89+30)</f>
        <v/>
      </c>
      <c r="G89" s="21" t="str">
        <f aca="false">IF(D89="","",D89+45)</f>
        <v/>
      </c>
      <c r="H89" s="17" t="str">
        <f aca="true">IF(G89="","",G89-TODAY())</f>
        <v/>
      </c>
      <c r="I89" s="22" t="str">
        <f aca="false">IF(H89="","",IF(OR(P89="Ganho",P89="Perdido"),IF(H89&gt;=0,"Revogar o token",""),IF(H89&lt;0,"Token vencido",IF(H89&lt;=7,"Token vence em breve",""))))</f>
        <v/>
      </c>
      <c r="J89" s="16"/>
      <c r="K89" s="16"/>
      <c r="L89" s="21" t="str">
        <f aca="false">IF(E89="","",E89+7)</f>
        <v/>
      </c>
      <c r="M89" s="21" t="str">
        <f aca="false">IF(E89="","",E89+21)</f>
        <v/>
      </c>
      <c r="N89" s="15"/>
      <c r="O89" s="23"/>
      <c r="P89" s="15"/>
      <c r="Q89" s="15"/>
    </row>
    <row r="90" customFormat="false" ht="15" hidden="false" customHeight="false" outlineLevel="0" collapsed="false">
      <c r="A90" s="15"/>
      <c r="B90" s="15"/>
      <c r="C90" s="15"/>
      <c r="D90" s="14"/>
      <c r="E90" s="14"/>
      <c r="F90" s="21" t="str">
        <f aca="false">IF(E90="","",E90+30)</f>
        <v/>
      </c>
      <c r="G90" s="21" t="str">
        <f aca="false">IF(D90="","",D90+45)</f>
        <v/>
      </c>
      <c r="H90" s="17" t="str">
        <f aca="true">IF(G90="","",G90-TODAY())</f>
        <v/>
      </c>
      <c r="I90" s="22" t="str">
        <f aca="false">IF(H90="","",IF(OR(P90="Ganho",P90="Perdido"),IF(H90&gt;=0,"Revogar o token",""),IF(H90&lt;0,"Token vencido",IF(H90&lt;=7,"Token vence em breve",""))))</f>
        <v/>
      </c>
      <c r="J90" s="16"/>
      <c r="K90" s="16"/>
      <c r="L90" s="21" t="str">
        <f aca="false">IF(E90="","",E90+7)</f>
        <v/>
      </c>
      <c r="M90" s="21" t="str">
        <f aca="false">IF(E90="","",E90+21)</f>
        <v/>
      </c>
      <c r="N90" s="15"/>
      <c r="O90" s="23"/>
      <c r="P90" s="15"/>
      <c r="Q90" s="15"/>
    </row>
    <row r="91" customFormat="false" ht="15" hidden="false" customHeight="false" outlineLevel="0" collapsed="false">
      <c r="A91" s="15"/>
      <c r="B91" s="15"/>
      <c r="C91" s="15"/>
      <c r="D91" s="14"/>
      <c r="E91" s="14"/>
      <c r="F91" s="21" t="str">
        <f aca="false">IF(E91="","",E91+30)</f>
        <v/>
      </c>
      <c r="G91" s="21" t="str">
        <f aca="false">IF(D91="","",D91+45)</f>
        <v/>
      </c>
      <c r="H91" s="17" t="str">
        <f aca="true">IF(G91="","",G91-TODAY())</f>
        <v/>
      </c>
      <c r="I91" s="22" t="str">
        <f aca="false">IF(H91="","",IF(OR(P91="Ganho",P91="Perdido"),IF(H91&gt;=0,"Revogar o token",""),IF(H91&lt;0,"Token vencido",IF(H91&lt;=7,"Token vence em breve",""))))</f>
        <v/>
      </c>
      <c r="J91" s="16"/>
      <c r="K91" s="16"/>
      <c r="L91" s="21" t="str">
        <f aca="false">IF(E91="","",E91+7)</f>
        <v/>
      </c>
      <c r="M91" s="21" t="str">
        <f aca="false">IF(E91="","",E91+21)</f>
        <v/>
      </c>
      <c r="N91" s="15"/>
      <c r="O91" s="23"/>
      <c r="P91" s="15"/>
      <c r="Q91" s="15"/>
    </row>
    <row r="92" customFormat="false" ht="15" hidden="false" customHeight="false" outlineLevel="0" collapsed="false">
      <c r="A92" s="15"/>
      <c r="B92" s="15"/>
      <c r="C92" s="15"/>
      <c r="D92" s="14"/>
      <c r="E92" s="14"/>
      <c r="F92" s="21" t="str">
        <f aca="false">IF(E92="","",E92+30)</f>
        <v/>
      </c>
      <c r="G92" s="21" t="str">
        <f aca="false">IF(D92="","",D92+45)</f>
        <v/>
      </c>
      <c r="H92" s="17" t="str">
        <f aca="true">IF(G92="","",G92-TODAY())</f>
        <v/>
      </c>
      <c r="I92" s="22" t="str">
        <f aca="false">IF(H92="","",IF(OR(P92="Ganho",P92="Perdido"),IF(H92&gt;=0,"Revogar o token",""),IF(H92&lt;0,"Token vencido",IF(H92&lt;=7,"Token vence em breve",""))))</f>
        <v/>
      </c>
      <c r="J92" s="16"/>
      <c r="K92" s="16"/>
      <c r="L92" s="21" t="str">
        <f aca="false">IF(E92="","",E92+7)</f>
        <v/>
      </c>
      <c r="M92" s="21" t="str">
        <f aca="false">IF(E92="","",E92+21)</f>
        <v/>
      </c>
      <c r="N92" s="15"/>
      <c r="O92" s="23"/>
      <c r="P92" s="15"/>
      <c r="Q92" s="15"/>
    </row>
    <row r="93" customFormat="false" ht="15" hidden="false" customHeight="false" outlineLevel="0" collapsed="false">
      <c r="A93" s="15"/>
      <c r="B93" s="15"/>
      <c r="C93" s="15"/>
      <c r="D93" s="14"/>
      <c r="E93" s="14"/>
      <c r="F93" s="21" t="str">
        <f aca="false">IF(E93="","",E93+30)</f>
        <v/>
      </c>
      <c r="G93" s="21" t="str">
        <f aca="false">IF(D93="","",D93+45)</f>
        <v/>
      </c>
      <c r="H93" s="17" t="str">
        <f aca="true">IF(G93="","",G93-TODAY())</f>
        <v/>
      </c>
      <c r="I93" s="22" t="str">
        <f aca="false">IF(H93="","",IF(OR(P93="Ganho",P93="Perdido"),IF(H93&gt;=0,"Revogar o token",""),IF(H93&lt;0,"Token vencido",IF(H93&lt;=7,"Token vence em breve",""))))</f>
        <v/>
      </c>
      <c r="J93" s="16"/>
      <c r="K93" s="16"/>
      <c r="L93" s="21" t="str">
        <f aca="false">IF(E93="","",E93+7)</f>
        <v/>
      </c>
      <c r="M93" s="21" t="str">
        <f aca="false">IF(E93="","",E93+21)</f>
        <v/>
      </c>
      <c r="N93" s="15"/>
      <c r="O93" s="23"/>
      <c r="P93" s="15"/>
      <c r="Q93" s="15"/>
    </row>
    <row r="94" customFormat="false" ht="15" hidden="false" customHeight="false" outlineLevel="0" collapsed="false">
      <c r="A94" s="15"/>
      <c r="B94" s="15"/>
      <c r="C94" s="15"/>
      <c r="D94" s="14"/>
      <c r="E94" s="14"/>
      <c r="F94" s="21" t="str">
        <f aca="false">IF(E94="","",E94+30)</f>
        <v/>
      </c>
      <c r="G94" s="21" t="str">
        <f aca="false">IF(D94="","",D94+45)</f>
        <v/>
      </c>
      <c r="H94" s="17" t="str">
        <f aca="true">IF(G94="","",G94-TODAY())</f>
        <v/>
      </c>
      <c r="I94" s="22" t="str">
        <f aca="false">IF(H94="","",IF(OR(P94="Ganho",P94="Perdido"),IF(H94&gt;=0,"Revogar o token",""),IF(H94&lt;0,"Token vencido",IF(H94&lt;=7,"Token vence em breve",""))))</f>
        <v/>
      </c>
      <c r="J94" s="16"/>
      <c r="K94" s="16"/>
      <c r="L94" s="21" t="str">
        <f aca="false">IF(E94="","",E94+7)</f>
        <v/>
      </c>
      <c r="M94" s="21" t="str">
        <f aca="false">IF(E94="","",E94+21)</f>
        <v/>
      </c>
      <c r="N94" s="15"/>
      <c r="O94" s="23"/>
      <c r="P94" s="15"/>
      <c r="Q94" s="15"/>
    </row>
    <row r="95" customFormat="false" ht="15" hidden="false" customHeight="false" outlineLevel="0" collapsed="false">
      <c r="A95" s="15"/>
      <c r="B95" s="15"/>
      <c r="C95" s="15"/>
      <c r="D95" s="14"/>
      <c r="E95" s="14"/>
      <c r="F95" s="21" t="str">
        <f aca="false">IF(E95="","",E95+30)</f>
        <v/>
      </c>
      <c r="G95" s="21" t="str">
        <f aca="false">IF(D95="","",D95+45)</f>
        <v/>
      </c>
      <c r="H95" s="17" t="str">
        <f aca="true">IF(G95="","",G95-TODAY())</f>
        <v/>
      </c>
      <c r="I95" s="22" t="str">
        <f aca="false">IF(H95="","",IF(OR(P95="Ganho",P95="Perdido"),IF(H95&gt;=0,"Revogar o token",""),IF(H95&lt;0,"Token vencido",IF(H95&lt;=7,"Token vence em breve",""))))</f>
        <v/>
      </c>
      <c r="J95" s="16"/>
      <c r="K95" s="16"/>
      <c r="L95" s="21" t="str">
        <f aca="false">IF(E95="","",E95+7)</f>
        <v/>
      </c>
      <c r="M95" s="21" t="str">
        <f aca="false">IF(E95="","",E95+21)</f>
        <v/>
      </c>
      <c r="N95" s="15"/>
      <c r="O95" s="23"/>
      <c r="P95" s="15"/>
      <c r="Q95" s="15"/>
    </row>
    <row r="96" customFormat="false" ht="15" hidden="false" customHeight="false" outlineLevel="0" collapsed="false">
      <c r="A96" s="15"/>
      <c r="B96" s="15"/>
      <c r="C96" s="15"/>
      <c r="D96" s="14"/>
      <c r="E96" s="14"/>
      <c r="F96" s="21" t="str">
        <f aca="false">IF(E96="","",E96+30)</f>
        <v/>
      </c>
      <c r="G96" s="21" t="str">
        <f aca="false">IF(D96="","",D96+45)</f>
        <v/>
      </c>
      <c r="H96" s="17" t="str">
        <f aca="true">IF(G96="","",G96-TODAY())</f>
        <v/>
      </c>
      <c r="I96" s="22" t="str">
        <f aca="false">IF(H96="","",IF(OR(P96="Ganho",P96="Perdido"),IF(H96&gt;=0,"Revogar o token",""),IF(H96&lt;0,"Token vencido",IF(H96&lt;=7,"Token vence em breve",""))))</f>
        <v/>
      </c>
      <c r="J96" s="16"/>
      <c r="K96" s="16"/>
      <c r="L96" s="21" t="str">
        <f aca="false">IF(E96="","",E96+7)</f>
        <v/>
      </c>
      <c r="M96" s="21" t="str">
        <f aca="false">IF(E96="","",E96+21)</f>
        <v/>
      </c>
      <c r="N96" s="15"/>
      <c r="O96" s="23"/>
      <c r="P96" s="15"/>
      <c r="Q96" s="15"/>
    </row>
    <row r="97" customFormat="false" ht="15" hidden="false" customHeight="false" outlineLevel="0" collapsed="false">
      <c r="A97" s="15"/>
      <c r="B97" s="15"/>
      <c r="C97" s="15"/>
      <c r="D97" s="14"/>
      <c r="E97" s="14"/>
      <c r="F97" s="21" t="str">
        <f aca="false">IF(E97="","",E97+30)</f>
        <v/>
      </c>
      <c r="G97" s="21" t="str">
        <f aca="false">IF(D97="","",D97+45)</f>
        <v/>
      </c>
      <c r="H97" s="17" t="str">
        <f aca="true">IF(G97="","",G97-TODAY())</f>
        <v/>
      </c>
      <c r="I97" s="22" t="str">
        <f aca="false">IF(H97="","",IF(OR(P97="Ganho",P97="Perdido"),IF(H97&gt;=0,"Revogar o token",""),IF(H97&lt;0,"Token vencido",IF(H97&lt;=7,"Token vence em breve",""))))</f>
        <v/>
      </c>
      <c r="J97" s="16"/>
      <c r="K97" s="16"/>
      <c r="L97" s="21" t="str">
        <f aca="false">IF(E97="","",E97+7)</f>
        <v/>
      </c>
      <c r="M97" s="21" t="str">
        <f aca="false">IF(E97="","",E97+21)</f>
        <v/>
      </c>
      <c r="N97" s="15"/>
      <c r="O97" s="23"/>
      <c r="P97" s="15"/>
      <c r="Q97" s="15"/>
    </row>
    <row r="98" customFormat="false" ht="15" hidden="false" customHeight="false" outlineLevel="0" collapsed="false">
      <c r="A98" s="15"/>
      <c r="B98" s="15"/>
      <c r="C98" s="15"/>
      <c r="D98" s="14"/>
      <c r="E98" s="14"/>
      <c r="F98" s="21" t="str">
        <f aca="false">IF(E98="","",E98+30)</f>
        <v/>
      </c>
      <c r="G98" s="21" t="str">
        <f aca="false">IF(D98="","",D98+45)</f>
        <v/>
      </c>
      <c r="H98" s="17" t="str">
        <f aca="true">IF(G98="","",G98-TODAY())</f>
        <v/>
      </c>
      <c r="I98" s="22" t="str">
        <f aca="false">IF(H98="","",IF(OR(P98="Ganho",P98="Perdido"),IF(H98&gt;=0,"Revogar o token",""),IF(H98&lt;0,"Token vencido",IF(H98&lt;=7,"Token vence em breve",""))))</f>
        <v/>
      </c>
      <c r="J98" s="16"/>
      <c r="K98" s="16"/>
      <c r="L98" s="21" t="str">
        <f aca="false">IF(E98="","",E98+7)</f>
        <v/>
      </c>
      <c r="M98" s="21" t="str">
        <f aca="false">IF(E98="","",E98+21)</f>
        <v/>
      </c>
      <c r="N98" s="15"/>
      <c r="O98" s="23"/>
      <c r="P98" s="15"/>
      <c r="Q98" s="15"/>
    </row>
    <row r="99" customFormat="false" ht="15" hidden="false" customHeight="false" outlineLevel="0" collapsed="false">
      <c r="A99" s="15"/>
      <c r="B99" s="15"/>
      <c r="C99" s="15"/>
      <c r="D99" s="14"/>
      <c r="E99" s="14"/>
      <c r="F99" s="21" t="str">
        <f aca="false">IF(E99="","",E99+30)</f>
        <v/>
      </c>
      <c r="G99" s="21" t="str">
        <f aca="false">IF(D99="","",D99+45)</f>
        <v/>
      </c>
      <c r="H99" s="17" t="str">
        <f aca="true">IF(G99="","",G99-TODAY())</f>
        <v/>
      </c>
      <c r="I99" s="22" t="str">
        <f aca="false">IF(H99="","",IF(OR(P99="Ganho",P99="Perdido"),IF(H99&gt;=0,"Revogar o token",""),IF(H99&lt;0,"Token vencido",IF(H99&lt;=7,"Token vence em breve",""))))</f>
        <v/>
      </c>
      <c r="J99" s="16"/>
      <c r="K99" s="16"/>
      <c r="L99" s="21" t="str">
        <f aca="false">IF(E99="","",E99+7)</f>
        <v/>
      </c>
      <c r="M99" s="21" t="str">
        <f aca="false">IF(E99="","",E99+21)</f>
        <v/>
      </c>
      <c r="N99" s="15"/>
      <c r="O99" s="23"/>
      <c r="P99" s="15"/>
      <c r="Q99" s="15"/>
    </row>
    <row r="100" customFormat="false" ht="15" hidden="false" customHeight="false" outlineLevel="0" collapsed="false">
      <c r="A100" s="15"/>
      <c r="B100" s="15"/>
      <c r="C100" s="15"/>
      <c r="D100" s="14"/>
      <c r="E100" s="14"/>
      <c r="F100" s="21" t="str">
        <f aca="false">IF(E100="","",E100+30)</f>
        <v/>
      </c>
      <c r="G100" s="21" t="str">
        <f aca="false">IF(D100="","",D100+45)</f>
        <v/>
      </c>
      <c r="H100" s="17" t="str">
        <f aca="true">IF(G100="","",G100-TODAY())</f>
        <v/>
      </c>
      <c r="I100" s="22" t="str">
        <f aca="false">IF(H100="","",IF(OR(P100="Ganho",P100="Perdido"),IF(H100&gt;=0,"Revogar o token",""),IF(H100&lt;0,"Token vencido",IF(H100&lt;=7,"Token vence em breve",""))))</f>
        <v/>
      </c>
      <c r="J100" s="16"/>
      <c r="K100" s="16"/>
      <c r="L100" s="21" t="str">
        <f aca="false">IF(E100="","",E100+7)</f>
        <v/>
      </c>
      <c r="M100" s="21" t="str">
        <f aca="false">IF(E100="","",E100+21)</f>
        <v/>
      </c>
      <c r="N100" s="15"/>
      <c r="O100" s="23"/>
      <c r="P100" s="15"/>
      <c r="Q100" s="15"/>
    </row>
    <row r="101" customFormat="false" ht="15" hidden="false" customHeight="false" outlineLevel="0" collapsed="false">
      <c r="A101" s="15"/>
      <c r="B101" s="15"/>
      <c r="C101" s="15"/>
      <c r="D101" s="14"/>
      <c r="E101" s="14"/>
      <c r="F101" s="21" t="str">
        <f aca="false">IF(E101="","",E101+30)</f>
        <v/>
      </c>
      <c r="G101" s="21" t="str">
        <f aca="false">IF(D101="","",D101+45)</f>
        <v/>
      </c>
      <c r="H101" s="17" t="str">
        <f aca="true">IF(G101="","",G101-TODAY())</f>
        <v/>
      </c>
      <c r="I101" s="22" t="str">
        <f aca="false">IF(H101="","",IF(OR(P101="Ganho",P101="Perdido"),IF(H101&gt;=0,"Revogar o token",""),IF(H101&lt;0,"Token vencido",IF(H101&lt;=7,"Token vence em breve",""))))</f>
        <v/>
      </c>
      <c r="J101" s="16"/>
      <c r="K101" s="16"/>
      <c r="L101" s="21" t="str">
        <f aca="false">IF(E101="","",E101+7)</f>
        <v/>
      </c>
      <c r="M101" s="21" t="str">
        <f aca="false">IF(E101="","",E101+21)</f>
        <v/>
      </c>
      <c r="N101" s="15"/>
      <c r="O101" s="23"/>
      <c r="P101" s="15"/>
      <c r="Q101" s="15"/>
    </row>
    <row r="102" customFormat="false" ht="15" hidden="false" customHeight="false" outlineLevel="0" collapsed="false">
      <c r="A102" s="15"/>
      <c r="B102" s="15"/>
      <c r="C102" s="15"/>
      <c r="D102" s="14"/>
      <c r="E102" s="14"/>
      <c r="F102" s="21" t="str">
        <f aca="false">IF(E102="","",E102+30)</f>
        <v/>
      </c>
      <c r="G102" s="21" t="str">
        <f aca="false">IF(D102="","",D102+45)</f>
        <v/>
      </c>
      <c r="H102" s="17" t="str">
        <f aca="true">IF(G102="","",G102-TODAY())</f>
        <v/>
      </c>
      <c r="I102" s="22" t="str">
        <f aca="false">IF(H102="","",IF(OR(P102="Ganho",P102="Perdido"),IF(H102&gt;=0,"Revogar o token",""),IF(H102&lt;0,"Token vencido",IF(H102&lt;=7,"Token vence em breve",""))))</f>
        <v/>
      </c>
      <c r="J102" s="16"/>
      <c r="K102" s="16"/>
      <c r="L102" s="21" t="str">
        <f aca="false">IF(E102="","",E102+7)</f>
        <v/>
      </c>
      <c r="M102" s="21" t="str">
        <f aca="false">IF(E102="","",E102+21)</f>
        <v/>
      </c>
      <c r="N102" s="15"/>
      <c r="O102" s="23"/>
      <c r="P102" s="15"/>
      <c r="Q102" s="15"/>
    </row>
    <row r="103" customFormat="false" ht="15" hidden="false" customHeight="false" outlineLevel="0" collapsed="false">
      <c r="A103" s="15"/>
      <c r="B103" s="15"/>
      <c r="C103" s="15"/>
      <c r="D103" s="14"/>
      <c r="E103" s="14"/>
      <c r="F103" s="21" t="str">
        <f aca="false">IF(E103="","",E103+30)</f>
        <v/>
      </c>
      <c r="G103" s="21" t="str">
        <f aca="false">IF(D103="","",D103+45)</f>
        <v/>
      </c>
      <c r="H103" s="17" t="str">
        <f aca="true">IF(G103="","",G103-TODAY())</f>
        <v/>
      </c>
      <c r="I103" s="22" t="str">
        <f aca="false">IF(H103="","",IF(OR(P103="Ganho",P103="Perdido"),IF(H103&gt;=0,"Revogar o token",""),IF(H103&lt;0,"Token vencido",IF(H103&lt;=7,"Token vence em breve",""))))</f>
        <v/>
      </c>
      <c r="J103" s="16"/>
      <c r="K103" s="16"/>
      <c r="L103" s="21" t="str">
        <f aca="false">IF(E103="","",E103+7)</f>
        <v/>
      </c>
      <c r="M103" s="21" t="str">
        <f aca="false">IF(E103="","",E103+21)</f>
        <v/>
      </c>
      <c r="N103" s="15"/>
      <c r="O103" s="23"/>
      <c r="P103" s="15"/>
      <c r="Q103" s="15"/>
    </row>
    <row r="104" customFormat="false" ht="15" hidden="false" customHeight="false" outlineLevel="0" collapsed="false">
      <c r="A104" s="15"/>
      <c r="B104" s="15"/>
      <c r="C104" s="15"/>
      <c r="D104" s="14"/>
      <c r="E104" s="14"/>
      <c r="F104" s="21" t="str">
        <f aca="false">IF(E104="","",E104+30)</f>
        <v/>
      </c>
      <c r="G104" s="21" t="str">
        <f aca="false">IF(D104="","",D104+45)</f>
        <v/>
      </c>
      <c r="H104" s="17" t="str">
        <f aca="true">IF(G104="","",G104-TODAY())</f>
        <v/>
      </c>
      <c r="I104" s="22" t="str">
        <f aca="false">IF(H104="","",IF(OR(P104="Ganho",P104="Perdido"),IF(H104&gt;=0,"Revogar o token",""),IF(H104&lt;0,"Token vencido",IF(H104&lt;=7,"Token vence em breve",""))))</f>
        <v/>
      </c>
      <c r="J104" s="16"/>
      <c r="K104" s="16"/>
      <c r="L104" s="21" t="str">
        <f aca="false">IF(E104="","",E104+7)</f>
        <v/>
      </c>
      <c r="M104" s="21" t="str">
        <f aca="false">IF(E104="","",E104+21)</f>
        <v/>
      </c>
      <c r="N104" s="15"/>
      <c r="O104" s="23"/>
      <c r="P104" s="15"/>
      <c r="Q104" s="15"/>
    </row>
    <row r="105" customFormat="false" ht="15" hidden="false" customHeight="false" outlineLevel="0" collapsed="false">
      <c r="A105" s="15"/>
      <c r="B105" s="15"/>
      <c r="C105" s="15"/>
      <c r="D105" s="14"/>
      <c r="E105" s="14"/>
      <c r="F105" s="21" t="str">
        <f aca="false">IF(E105="","",E105+30)</f>
        <v/>
      </c>
      <c r="G105" s="21" t="str">
        <f aca="false">IF(D105="","",D105+45)</f>
        <v/>
      </c>
      <c r="H105" s="17" t="str">
        <f aca="true">IF(G105="","",G105-TODAY())</f>
        <v/>
      </c>
      <c r="I105" s="22" t="str">
        <f aca="false">IF(H105="","",IF(OR(P105="Ganho",P105="Perdido"),IF(H105&gt;=0,"Revogar o token",""),IF(H105&lt;0,"Token vencido",IF(H105&lt;=7,"Token vence em breve",""))))</f>
        <v/>
      </c>
      <c r="J105" s="16"/>
      <c r="K105" s="16"/>
      <c r="L105" s="21" t="str">
        <f aca="false">IF(E105="","",E105+7)</f>
        <v/>
      </c>
      <c r="M105" s="21" t="str">
        <f aca="false">IF(E105="","",E105+21)</f>
        <v/>
      </c>
      <c r="N105" s="15"/>
      <c r="O105" s="23"/>
      <c r="P105" s="15"/>
      <c r="Q105" s="15"/>
    </row>
    <row r="106" customFormat="false" ht="15" hidden="false" customHeight="false" outlineLevel="0" collapsed="false">
      <c r="A106" s="15"/>
      <c r="B106" s="15"/>
      <c r="C106" s="15"/>
      <c r="D106" s="14"/>
      <c r="E106" s="14"/>
      <c r="F106" s="21" t="str">
        <f aca="false">IF(E106="","",E106+30)</f>
        <v/>
      </c>
      <c r="G106" s="21" t="str">
        <f aca="false">IF(D106="","",D106+45)</f>
        <v/>
      </c>
      <c r="H106" s="17" t="str">
        <f aca="true">IF(G106="","",G106-TODAY())</f>
        <v/>
      </c>
      <c r="I106" s="22" t="str">
        <f aca="false">IF(H106="","",IF(OR(P106="Ganho",P106="Perdido"),IF(H106&gt;=0,"Revogar o token",""),IF(H106&lt;0,"Token vencido",IF(H106&lt;=7,"Token vence em breve",""))))</f>
        <v/>
      </c>
      <c r="J106" s="16"/>
      <c r="K106" s="16"/>
      <c r="L106" s="21" t="str">
        <f aca="false">IF(E106="","",E106+7)</f>
        <v/>
      </c>
      <c r="M106" s="21" t="str">
        <f aca="false">IF(E106="","",E106+21)</f>
        <v/>
      </c>
      <c r="N106" s="15"/>
      <c r="O106" s="23"/>
      <c r="P106" s="15"/>
      <c r="Q106" s="15"/>
    </row>
    <row r="107" customFormat="false" ht="15" hidden="false" customHeight="false" outlineLevel="0" collapsed="false">
      <c r="A107" s="15"/>
      <c r="B107" s="15"/>
      <c r="C107" s="15"/>
      <c r="D107" s="14"/>
      <c r="E107" s="14"/>
      <c r="F107" s="21" t="str">
        <f aca="false">IF(E107="","",E107+30)</f>
        <v/>
      </c>
      <c r="G107" s="21" t="str">
        <f aca="false">IF(D107="","",D107+45)</f>
        <v/>
      </c>
      <c r="H107" s="17" t="str">
        <f aca="true">IF(G107="","",G107-TODAY())</f>
        <v/>
      </c>
      <c r="I107" s="22" t="str">
        <f aca="false">IF(H107="","",IF(OR(P107="Ganho",P107="Perdido"),IF(H107&gt;=0,"Revogar o token",""),IF(H107&lt;0,"Token vencido",IF(H107&lt;=7,"Token vence em breve",""))))</f>
        <v/>
      </c>
      <c r="J107" s="16"/>
      <c r="K107" s="16"/>
      <c r="L107" s="21" t="str">
        <f aca="false">IF(E107="","",E107+7)</f>
        <v/>
      </c>
      <c r="M107" s="21" t="str">
        <f aca="false">IF(E107="","",E107+21)</f>
        <v/>
      </c>
      <c r="N107" s="15"/>
      <c r="O107" s="23"/>
      <c r="P107" s="15"/>
      <c r="Q107" s="15"/>
    </row>
    <row r="108" customFormat="false" ht="15" hidden="false" customHeight="false" outlineLevel="0" collapsed="false">
      <c r="A108" s="15"/>
      <c r="B108" s="15"/>
      <c r="C108" s="15"/>
      <c r="D108" s="14"/>
      <c r="E108" s="14"/>
      <c r="F108" s="21" t="str">
        <f aca="false">IF(E108="","",E108+30)</f>
        <v/>
      </c>
      <c r="G108" s="21" t="str">
        <f aca="false">IF(D108="","",D108+45)</f>
        <v/>
      </c>
      <c r="H108" s="17" t="str">
        <f aca="true">IF(G108="","",G108-TODAY())</f>
        <v/>
      </c>
      <c r="I108" s="22" t="str">
        <f aca="false">IF(H108="","",IF(OR(P108="Ganho",P108="Perdido"),IF(H108&gt;=0,"Revogar o token",""),IF(H108&lt;0,"Token vencido",IF(H108&lt;=7,"Token vence em breve",""))))</f>
        <v/>
      </c>
      <c r="J108" s="16"/>
      <c r="K108" s="16"/>
      <c r="L108" s="21" t="str">
        <f aca="false">IF(E108="","",E108+7)</f>
        <v/>
      </c>
      <c r="M108" s="21" t="str">
        <f aca="false">IF(E108="","",E108+21)</f>
        <v/>
      </c>
      <c r="N108" s="15"/>
      <c r="O108" s="23"/>
      <c r="P108" s="15"/>
      <c r="Q108" s="15"/>
    </row>
    <row r="109" customFormat="false" ht="15" hidden="false" customHeight="false" outlineLevel="0" collapsed="false">
      <c r="A109" s="15"/>
      <c r="B109" s="15"/>
      <c r="C109" s="15"/>
      <c r="D109" s="14"/>
      <c r="E109" s="14"/>
      <c r="F109" s="21" t="str">
        <f aca="false">IF(E109="","",E109+30)</f>
        <v/>
      </c>
      <c r="G109" s="21" t="str">
        <f aca="false">IF(D109="","",D109+45)</f>
        <v/>
      </c>
      <c r="H109" s="17" t="str">
        <f aca="true">IF(G109="","",G109-TODAY())</f>
        <v/>
      </c>
      <c r="I109" s="22" t="str">
        <f aca="false">IF(H109="","",IF(OR(P109="Ganho",P109="Perdido"),IF(H109&gt;=0,"Revogar o token",""),IF(H109&lt;0,"Token vencido",IF(H109&lt;=7,"Token vence em breve",""))))</f>
        <v/>
      </c>
      <c r="J109" s="16"/>
      <c r="K109" s="16"/>
      <c r="L109" s="21" t="str">
        <f aca="false">IF(E109="","",E109+7)</f>
        <v/>
      </c>
      <c r="M109" s="21" t="str">
        <f aca="false">IF(E109="","",E109+21)</f>
        <v/>
      </c>
      <c r="N109" s="15"/>
      <c r="O109" s="23"/>
      <c r="P109" s="15"/>
      <c r="Q109" s="15"/>
    </row>
    <row r="110" customFormat="false" ht="15" hidden="false" customHeight="false" outlineLevel="0" collapsed="false">
      <c r="A110" s="15"/>
      <c r="B110" s="15"/>
      <c r="C110" s="15"/>
      <c r="D110" s="14"/>
      <c r="E110" s="14"/>
      <c r="F110" s="21" t="str">
        <f aca="false">IF(E110="","",E110+30)</f>
        <v/>
      </c>
      <c r="G110" s="21" t="str">
        <f aca="false">IF(D110="","",D110+45)</f>
        <v/>
      </c>
      <c r="H110" s="17" t="str">
        <f aca="true">IF(G110="","",G110-TODAY())</f>
        <v/>
      </c>
      <c r="I110" s="22" t="str">
        <f aca="false">IF(H110="","",IF(OR(P110="Ganho",P110="Perdido"),IF(H110&gt;=0,"Revogar o token",""),IF(H110&lt;0,"Token vencido",IF(H110&lt;=7,"Token vence em breve",""))))</f>
        <v/>
      </c>
      <c r="J110" s="16"/>
      <c r="K110" s="16"/>
      <c r="L110" s="21" t="str">
        <f aca="false">IF(E110="","",E110+7)</f>
        <v/>
      </c>
      <c r="M110" s="21" t="str">
        <f aca="false">IF(E110="","",E110+21)</f>
        <v/>
      </c>
      <c r="N110" s="15"/>
      <c r="O110" s="23"/>
      <c r="P110" s="15"/>
      <c r="Q110" s="15"/>
    </row>
    <row r="111" customFormat="false" ht="15" hidden="false" customHeight="false" outlineLevel="0" collapsed="false">
      <c r="A111" s="15"/>
      <c r="B111" s="15"/>
      <c r="C111" s="15"/>
      <c r="D111" s="14"/>
      <c r="E111" s="14"/>
      <c r="F111" s="21" t="str">
        <f aca="false">IF(E111="","",E111+30)</f>
        <v/>
      </c>
      <c r="G111" s="21" t="str">
        <f aca="false">IF(D111="","",D111+45)</f>
        <v/>
      </c>
      <c r="H111" s="17" t="str">
        <f aca="true">IF(G111="","",G111-TODAY())</f>
        <v/>
      </c>
      <c r="I111" s="22" t="str">
        <f aca="false">IF(H111="","",IF(OR(P111="Ganho",P111="Perdido"),IF(H111&gt;=0,"Revogar o token",""),IF(H111&lt;0,"Token vencido",IF(H111&lt;=7,"Token vence em breve",""))))</f>
        <v/>
      </c>
      <c r="J111" s="16"/>
      <c r="K111" s="16"/>
      <c r="L111" s="21" t="str">
        <f aca="false">IF(E111="","",E111+7)</f>
        <v/>
      </c>
      <c r="M111" s="21" t="str">
        <f aca="false">IF(E111="","",E111+21)</f>
        <v/>
      </c>
      <c r="N111" s="15"/>
      <c r="O111" s="23"/>
      <c r="P111" s="15"/>
      <c r="Q111" s="15"/>
    </row>
    <row r="112" customFormat="false" ht="15" hidden="false" customHeight="false" outlineLevel="0" collapsed="false">
      <c r="A112" s="15"/>
      <c r="B112" s="15"/>
      <c r="C112" s="15"/>
      <c r="D112" s="14"/>
      <c r="E112" s="14"/>
      <c r="F112" s="21" t="str">
        <f aca="false">IF(E112="","",E112+30)</f>
        <v/>
      </c>
      <c r="G112" s="21" t="str">
        <f aca="false">IF(D112="","",D112+45)</f>
        <v/>
      </c>
      <c r="H112" s="17" t="str">
        <f aca="true">IF(G112="","",G112-TODAY())</f>
        <v/>
      </c>
      <c r="I112" s="22" t="str">
        <f aca="false">IF(H112="","",IF(OR(P112="Ganho",P112="Perdido"),IF(H112&gt;=0,"Revogar o token",""),IF(H112&lt;0,"Token vencido",IF(H112&lt;=7,"Token vence em breve",""))))</f>
        <v/>
      </c>
      <c r="J112" s="16"/>
      <c r="K112" s="16"/>
      <c r="L112" s="21" t="str">
        <f aca="false">IF(E112="","",E112+7)</f>
        <v/>
      </c>
      <c r="M112" s="21" t="str">
        <f aca="false">IF(E112="","",E112+21)</f>
        <v/>
      </c>
      <c r="N112" s="15"/>
      <c r="O112" s="23"/>
      <c r="P112" s="15"/>
      <c r="Q112" s="15"/>
    </row>
    <row r="113" customFormat="false" ht="15" hidden="false" customHeight="false" outlineLevel="0" collapsed="false">
      <c r="A113" s="15"/>
      <c r="B113" s="15"/>
      <c r="C113" s="15"/>
      <c r="D113" s="14"/>
      <c r="E113" s="14"/>
      <c r="F113" s="21" t="str">
        <f aca="false">IF(E113="","",E113+30)</f>
        <v/>
      </c>
      <c r="G113" s="21" t="str">
        <f aca="false">IF(D113="","",D113+45)</f>
        <v/>
      </c>
      <c r="H113" s="17" t="str">
        <f aca="true">IF(G113="","",G113-TODAY())</f>
        <v/>
      </c>
      <c r="I113" s="22" t="str">
        <f aca="false">IF(H113="","",IF(OR(P113="Ganho",P113="Perdido"),IF(H113&gt;=0,"Revogar o token",""),IF(H113&lt;0,"Token vencido",IF(H113&lt;=7,"Token vence em breve",""))))</f>
        <v/>
      </c>
      <c r="J113" s="16"/>
      <c r="K113" s="16"/>
      <c r="L113" s="21" t="str">
        <f aca="false">IF(E113="","",E113+7)</f>
        <v/>
      </c>
      <c r="M113" s="21" t="str">
        <f aca="false">IF(E113="","",E113+21)</f>
        <v/>
      </c>
      <c r="N113" s="15"/>
      <c r="O113" s="23"/>
      <c r="P113" s="15"/>
      <c r="Q113" s="15"/>
    </row>
    <row r="114" customFormat="false" ht="15" hidden="false" customHeight="false" outlineLevel="0" collapsed="false">
      <c r="A114" s="15"/>
      <c r="B114" s="15"/>
      <c r="C114" s="15"/>
      <c r="D114" s="14"/>
      <c r="E114" s="14"/>
      <c r="F114" s="21" t="str">
        <f aca="false">IF(E114="","",E114+30)</f>
        <v/>
      </c>
      <c r="G114" s="21" t="str">
        <f aca="false">IF(D114="","",D114+45)</f>
        <v/>
      </c>
      <c r="H114" s="17" t="str">
        <f aca="true">IF(G114="","",G114-TODAY())</f>
        <v/>
      </c>
      <c r="I114" s="22" t="str">
        <f aca="false">IF(H114="","",IF(OR(P114="Ganho",P114="Perdido"),IF(H114&gt;=0,"Revogar o token",""),IF(H114&lt;0,"Token vencido",IF(H114&lt;=7,"Token vence em breve",""))))</f>
        <v/>
      </c>
      <c r="J114" s="16"/>
      <c r="K114" s="16"/>
      <c r="L114" s="21" t="str">
        <f aca="false">IF(E114="","",E114+7)</f>
        <v/>
      </c>
      <c r="M114" s="21" t="str">
        <f aca="false">IF(E114="","",E114+21)</f>
        <v/>
      </c>
      <c r="N114" s="15"/>
      <c r="O114" s="23"/>
      <c r="P114" s="15"/>
      <c r="Q114" s="15"/>
    </row>
    <row r="115" customFormat="false" ht="15" hidden="false" customHeight="false" outlineLevel="0" collapsed="false">
      <c r="A115" s="15"/>
      <c r="B115" s="15"/>
      <c r="C115" s="15"/>
      <c r="D115" s="14"/>
      <c r="E115" s="14"/>
      <c r="F115" s="21" t="str">
        <f aca="false">IF(E115="","",E115+30)</f>
        <v/>
      </c>
      <c r="G115" s="21" t="str">
        <f aca="false">IF(D115="","",D115+45)</f>
        <v/>
      </c>
      <c r="H115" s="17" t="str">
        <f aca="true">IF(G115="","",G115-TODAY())</f>
        <v/>
      </c>
      <c r="I115" s="22" t="str">
        <f aca="false">IF(H115="","",IF(OR(P115="Ganho",P115="Perdido"),IF(H115&gt;=0,"Revogar o token",""),IF(H115&lt;0,"Token vencido",IF(H115&lt;=7,"Token vence em breve",""))))</f>
        <v/>
      </c>
      <c r="J115" s="16"/>
      <c r="K115" s="16"/>
      <c r="L115" s="21" t="str">
        <f aca="false">IF(E115="","",E115+7)</f>
        <v/>
      </c>
      <c r="M115" s="21" t="str">
        <f aca="false">IF(E115="","",E115+21)</f>
        <v/>
      </c>
      <c r="N115" s="15"/>
      <c r="O115" s="23"/>
      <c r="P115" s="15"/>
      <c r="Q115" s="15"/>
    </row>
    <row r="116" customFormat="false" ht="15" hidden="false" customHeight="false" outlineLevel="0" collapsed="false">
      <c r="A116" s="15"/>
      <c r="B116" s="15"/>
      <c r="C116" s="15"/>
      <c r="D116" s="14"/>
      <c r="E116" s="14"/>
      <c r="F116" s="21" t="str">
        <f aca="false">IF(E116="","",E116+30)</f>
        <v/>
      </c>
      <c r="G116" s="21" t="str">
        <f aca="false">IF(D116="","",D116+45)</f>
        <v/>
      </c>
      <c r="H116" s="17" t="str">
        <f aca="true">IF(G116="","",G116-TODAY())</f>
        <v/>
      </c>
      <c r="I116" s="22" t="str">
        <f aca="false">IF(H116="","",IF(OR(P116="Ganho",P116="Perdido"),IF(H116&gt;=0,"Revogar o token",""),IF(H116&lt;0,"Token vencido",IF(H116&lt;=7,"Token vence em breve",""))))</f>
        <v/>
      </c>
      <c r="J116" s="16"/>
      <c r="K116" s="16"/>
      <c r="L116" s="21" t="str">
        <f aca="false">IF(E116="","",E116+7)</f>
        <v/>
      </c>
      <c r="M116" s="21" t="str">
        <f aca="false">IF(E116="","",E116+21)</f>
        <v/>
      </c>
      <c r="N116" s="15"/>
      <c r="O116" s="23"/>
      <c r="P116" s="15"/>
      <c r="Q116" s="15"/>
    </row>
    <row r="117" customFormat="false" ht="15" hidden="false" customHeight="false" outlineLevel="0" collapsed="false">
      <c r="A117" s="15"/>
      <c r="B117" s="15"/>
      <c r="C117" s="15"/>
      <c r="D117" s="14"/>
      <c r="E117" s="14"/>
      <c r="F117" s="21" t="str">
        <f aca="false">IF(E117="","",E117+30)</f>
        <v/>
      </c>
      <c r="G117" s="21" t="str">
        <f aca="false">IF(D117="","",D117+45)</f>
        <v/>
      </c>
      <c r="H117" s="17" t="str">
        <f aca="true">IF(G117="","",G117-TODAY())</f>
        <v/>
      </c>
      <c r="I117" s="22" t="str">
        <f aca="false">IF(H117="","",IF(OR(P117="Ganho",P117="Perdido"),IF(H117&gt;=0,"Revogar o token",""),IF(H117&lt;0,"Token vencido",IF(H117&lt;=7,"Token vence em breve",""))))</f>
        <v/>
      </c>
      <c r="J117" s="16"/>
      <c r="K117" s="16"/>
      <c r="L117" s="21" t="str">
        <f aca="false">IF(E117="","",E117+7)</f>
        <v/>
      </c>
      <c r="M117" s="21" t="str">
        <f aca="false">IF(E117="","",E117+21)</f>
        <v/>
      </c>
      <c r="N117" s="15"/>
      <c r="O117" s="23"/>
      <c r="P117" s="15"/>
      <c r="Q117" s="15"/>
    </row>
    <row r="118" customFormat="false" ht="15" hidden="false" customHeight="false" outlineLevel="0" collapsed="false">
      <c r="A118" s="15"/>
      <c r="B118" s="15"/>
      <c r="C118" s="15"/>
      <c r="D118" s="14"/>
      <c r="E118" s="14"/>
      <c r="F118" s="21" t="str">
        <f aca="false">IF(E118="","",E118+30)</f>
        <v/>
      </c>
      <c r="G118" s="21" t="str">
        <f aca="false">IF(D118="","",D118+45)</f>
        <v/>
      </c>
      <c r="H118" s="17" t="str">
        <f aca="true">IF(G118="","",G118-TODAY())</f>
        <v/>
      </c>
      <c r="I118" s="22" t="str">
        <f aca="false">IF(H118="","",IF(OR(P118="Ganho",P118="Perdido"),IF(H118&gt;=0,"Revogar o token",""),IF(H118&lt;0,"Token vencido",IF(H118&lt;=7,"Token vence em breve",""))))</f>
        <v/>
      </c>
      <c r="J118" s="16"/>
      <c r="K118" s="16"/>
      <c r="L118" s="21" t="str">
        <f aca="false">IF(E118="","",E118+7)</f>
        <v/>
      </c>
      <c r="M118" s="21" t="str">
        <f aca="false">IF(E118="","",E118+21)</f>
        <v/>
      </c>
      <c r="N118" s="15"/>
      <c r="O118" s="23"/>
      <c r="P118" s="15"/>
      <c r="Q118" s="15"/>
    </row>
    <row r="119" customFormat="false" ht="15" hidden="false" customHeight="false" outlineLevel="0" collapsed="false">
      <c r="A119" s="15"/>
      <c r="B119" s="15"/>
      <c r="C119" s="15"/>
      <c r="D119" s="14"/>
      <c r="E119" s="14"/>
      <c r="F119" s="21" t="str">
        <f aca="false">IF(E119="","",E119+30)</f>
        <v/>
      </c>
      <c r="G119" s="21" t="str">
        <f aca="false">IF(D119="","",D119+45)</f>
        <v/>
      </c>
      <c r="H119" s="17" t="str">
        <f aca="true">IF(G119="","",G119-TODAY())</f>
        <v/>
      </c>
      <c r="I119" s="22" t="str">
        <f aca="false">IF(H119="","",IF(OR(P119="Ganho",P119="Perdido"),IF(H119&gt;=0,"Revogar o token",""),IF(H119&lt;0,"Token vencido",IF(H119&lt;=7,"Token vence em breve",""))))</f>
        <v/>
      </c>
      <c r="J119" s="16"/>
      <c r="K119" s="16"/>
      <c r="L119" s="21" t="str">
        <f aca="false">IF(E119="","",E119+7)</f>
        <v/>
      </c>
      <c r="M119" s="21" t="str">
        <f aca="false">IF(E119="","",E119+21)</f>
        <v/>
      </c>
      <c r="N119" s="15"/>
      <c r="O119" s="23"/>
      <c r="P119" s="15"/>
      <c r="Q119" s="15"/>
    </row>
    <row r="120" customFormat="false" ht="15" hidden="false" customHeight="false" outlineLevel="0" collapsed="false">
      <c r="A120" s="15"/>
      <c r="B120" s="15"/>
      <c r="C120" s="15"/>
      <c r="D120" s="14"/>
      <c r="E120" s="14"/>
      <c r="F120" s="21" t="str">
        <f aca="false">IF(E120="","",E120+30)</f>
        <v/>
      </c>
      <c r="G120" s="21" t="str">
        <f aca="false">IF(D120="","",D120+45)</f>
        <v/>
      </c>
      <c r="H120" s="17" t="str">
        <f aca="true">IF(G120="","",G120-TODAY())</f>
        <v/>
      </c>
      <c r="I120" s="22" t="str">
        <f aca="false">IF(H120="","",IF(OR(P120="Ganho",P120="Perdido"),IF(H120&gt;=0,"Revogar o token",""),IF(H120&lt;0,"Token vencido",IF(H120&lt;=7,"Token vence em breve",""))))</f>
        <v/>
      </c>
      <c r="J120" s="16"/>
      <c r="K120" s="16"/>
      <c r="L120" s="21" t="str">
        <f aca="false">IF(E120="","",E120+7)</f>
        <v/>
      </c>
      <c r="M120" s="21" t="str">
        <f aca="false">IF(E120="","",E120+21)</f>
        <v/>
      </c>
      <c r="N120" s="15"/>
      <c r="O120" s="23"/>
      <c r="P120" s="15"/>
      <c r="Q120" s="15"/>
    </row>
    <row r="121" customFormat="false" ht="15" hidden="false" customHeight="false" outlineLevel="0" collapsed="false">
      <c r="A121" s="15"/>
      <c r="B121" s="15"/>
      <c r="C121" s="15"/>
      <c r="D121" s="14"/>
      <c r="E121" s="14"/>
      <c r="F121" s="21" t="str">
        <f aca="false">IF(E121="","",E121+30)</f>
        <v/>
      </c>
      <c r="G121" s="21" t="str">
        <f aca="false">IF(D121="","",D121+45)</f>
        <v/>
      </c>
      <c r="H121" s="17" t="str">
        <f aca="true">IF(G121="","",G121-TODAY())</f>
        <v/>
      </c>
      <c r="I121" s="22" t="str">
        <f aca="false">IF(H121="","",IF(OR(P121="Ganho",P121="Perdido"),IF(H121&gt;=0,"Revogar o token",""),IF(H121&lt;0,"Token vencido",IF(H121&lt;=7,"Token vence em breve",""))))</f>
        <v/>
      </c>
      <c r="J121" s="16"/>
      <c r="K121" s="16"/>
      <c r="L121" s="21" t="str">
        <f aca="false">IF(E121="","",E121+7)</f>
        <v/>
      </c>
      <c r="M121" s="21" t="str">
        <f aca="false">IF(E121="","",E121+21)</f>
        <v/>
      </c>
      <c r="N121" s="15"/>
      <c r="O121" s="23"/>
      <c r="P121" s="15"/>
      <c r="Q121" s="15"/>
    </row>
    <row r="122" customFormat="false" ht="15" hidden="false" customHeight="false" outlineLevel="0" collapsed="false">
      <c r="A122" s="15"/>
      <c r="B122" s="15"/>
      <c r="C122" s="15"/>
      <c r="D122" s="14"/>
      <c r="E122" s="14"/>
      <c r="F122" s="21" t="str">
        <f aca="false">IF(E122="","",E122+30)</f>
        <v/>
      </c>
      <c r="G122" s="21" t="str">
        <f aca="false">IF(D122="","",D122+45)</f>
        <v/>
      </c>
      <c r="H122" s="17" t="str">
        <f aca="true">IF(G122="","",G122-TODAY())</f>
        <v/>
      </c>
      <c r="I122" s="22" t="str">
        <f aca="false">IF(H122="","",IF(OR(P122="Ganho",P122="Perdido"),IF(H122&gt;=0,"Revogar o token",""),IF(H122&lt;0,"Token vencido",IF(H122&lt;=7,"Token vence em breve",""))))</f>
        <v/>
      </c>
      <c r="J122" s="16"/>
      <c r="K122" s="16"/>
      <c r="L122" s="21" t="str">
        <f aca="false">IF(E122="","",E122+7)</f>
        <v/>
      </c>
      <c r="M122" s="21" t="str">
        <f aca="false">IF(E122="","",E122+21)</f>
        <v/>
      </c>
      <c r="N122" s="15"/>
      <c r="O122" s="23"/>
      <c r="P122" s="15"/>
      <c r="Q122" s="15"/>
    </row>
    <row r="123" customFormat="false" ht="15" hidden="false" customHeight="false" outlineLevel="0" collapsed="false">
      <c r="A123" s="15"/>
      <c r="B123" s="15"/>
      <c r="C123" s="15"/>
      <c r="D123" s="14"/>
      <c r="E123" s="14"/>
      <c r="F123" s="21" t="str">
        <f aca="false">IF(E123="","",E123+30)</f>
        <v/>
      </c>
      <c r="G123" s="21" t="str">
        <f aca="false">IF(D123="","",D123+45)</f>
        <v/>
      </c>
      <c r="H123" s="17" t="str">
        <f aca="true">IF(G123="","",G123-TODAY())</f>
        <v/>
      </c>
      <c r="I123" s="22" t="str">
        <f aca="false">IF(H123="","",IF(OR(P123="Ganho",P123="Perdido"),IF(H123&gt;=0,"Revogar o token",""),IF(H123&lt;0,"Token vencido",IF(H123&lt;=7,"Token vence em breve",""))))</f>
        <v/>
      </c>
      <c r="J123" s="16"/>
      <c r="K123" s="16"/>
      <c r="L123" s="21" t="str">
        <f aca="false">IF(E123="","",E123+7)</f>
        <v/>
      </c>
      <c r="M123" s="21" t="str">
        <f aca="false">IF(E123="","",E123+21)</f>
        <v/>
      </c>
      <c r="N123" s="15"/>
      <c r="O123" s="23"/>
      <c r="P123" s="15"/>
      <c r="Q123" s="15"/>
    </row>
    <row r="124" customFormat="false" ht="15" hidden="false" customHeight="false" outlineLevel="0" collapsed="false">
      <c r="A124" s="15"/>
      <c r="B124" s="15"/>
      <c r="C124" s="15"/>
      <c r="D124" s="14"/>
      <c r="E124" s="14"/>
      <c r="F124" s="21" t="str">
        <f aca="false">IF(E124="","",E124+30)</f>
        <v/>
      </c>
      <c r="G124" s="21" t="str">
        <f aca="false">IF(D124="","",D124+45)</f>
        <v/>
      </c>
      <c r="H124" s="17" t="str">
        <f aca="true">IF(G124="","",G124-TODAY())</f>
        <v/>
      </c>
      <c r="I124" s="22" t="str">
        <f aca="false">IF(H124="","",IF(OR(P124="Ganho",P124="Perdido"),IF(H124&gt;=0,"Revogar o token",""),IF(H124&lt;0,"Token vencido",IF(H124&lt;=7,"Token vence em breve",""))))</f>
        <v/>
      </c>
      <c r="J124" s="16"/>
      <c r="K124" s="16"/>
      <c r="L124" s="21" t="str">
        <f aca="false">IF(E124="","",E124+7)</f>
        <v/>
      </c>
      <c r="M124" s="21" t="str">
        <f aca="false">IF(E124="","",E124+21)</f>
        <v/>
      </c>
      <c r="N124" s="15"/>
      <c r="O124" s="23"/>
      <c r="P124" s="15"/>
      <c r="Q124" s="15"/>
    </row>
    <row r="125" customFormat="false" ht="15" hidden="false" customHeight="false" outlineLevel="0" collapsed="false">
      <c r="A125" s="15"/>
      <c r="B125" s="15"/>
      <c r="C125" s="15"/>
      <c r="D125" s="14"/>
      <c r="E125" s="14"/>
      <c r="F125" s="21" t="str">
        <f aca="false">IF(E125="","",E125+30)</f>
        <v/>
      </c>
      <c r="G125" s="21" t="str">
        <f aca="false">IF(D125="","",D125+45)</f>
        <v/>
      </c>
      <c r="H125" s="17" t="str">
        <f aca="true">IF(G125="","",G125-TODAY())</f>
        <v/>
      </c>
      <c r="I125" s="22" t="str">
        <f aca="false">IF(H125="","",IF(OR(P125="Ganho",P125="Perdido"),IF(H125&gt;=0,"Revogar o token",""),IF(H125&lt;0,"Token vencido",IF(H125&lt;=7,"Token vence em breve",""))))</f>
        <v/>
      </c>
      <c r="J125" s="16"/>
      <c r="K125" s="16"/>
      <c r="L125" s="21" t="str">
        <f aca="false">IF(E125="","",E125+7)</f>
        <v/>
      </c>
      <c r="M125" s="21" t="str">
        <f aca="false">IF(E125="","",E125+21)</f>
        <v/>
      </c>
      <c r="N125" s="15"/>
      <c r="O125" s="23"/>
      <c r="P125" s="15"/>
      <c r="Q125" s="15"/>
    </row>
    <row r="126" customFormat="false" ht="15" hidden="false" customHeight="false" outlineLevel="0" collapsed="false">
      <c r="A126" s="15"/>
      <c r="B126" s="15"/>
      <c r="C126" s="15"/>
      <c r="D126" s="14"/>
      <c r="E126" s="14"/>
      <c r="F126" s="21" t="str">
        <f aca="false">IF(E126="","",E126+30)</f>
        <v/>
      </c>
      <c r="G126" s="21" t="str">
        <f aca="false">IF(D126="","",D126+45)</f>
        <v/>
      </c>
      <c r="H126" s="17" t="str">
        <f aca="true">IF(G126="","",G126-TODAY())</f>
        <v/>
      </c>
      <c r="I126" s="22" t="str">
        <f aca="false">IF(H126="","",IF(OR(P126="Ganho",P126="Perdido"),IF(H126&gt;=0,"Revogar o token",""),IF(H126&lt;0,"Token vencido",IF(H126&lt;=7,"Token vence em breve",""))))</f>
        <v/>
      </c>
      <c r="J126" s="16"/>
      <c r="K126" s="16"/>
      <c r="L126" s="21" t="str">
        <f aca="false">IF(E126="","",E126+7)</f>
        <v/>
      </c>
      <c r="M126" s="21" t="str">
        <f aca="false">IF(E126="","",E126+21)</f>
        <v/>
      </c>
      <c r="N126" s="15"/>
      <c r="O126" s="23"/>
      <c r="P126" s="15"/>
      <c r="Q126" s="15"/>
    </row>
    <row r="127" customFormat="false" ht="15" hidden="false" customHeight="false" outlineLevel="0" collapsed="false">
      <c r="A127" s="15"/>
      <c r="B127" s="15"/>
      <c r="C127" s="15"/>
      <c r="D127" s="14"/>
      <c r="E127" s="14"/>
      <c r="F127" s="21" t="str">
        <f aca="false">IF(E127="","",E127+30)</f>
        <v/>
      </c>
      <c r="G127" s="21" t="str">
        <f aca="false">IF(D127="","",D127+45)</f>
        <v/>
      </c>
      <c r="H127" s="17" t="str">
        <f aca="true">IF(G127="","",G127-TODAY())</f>
        <v/>
      </c>
      <c r="I127" s="22" t="str">
        <f aca="false">IF(H127="","",IF(OR(P127="Ganho",P127="Perdido"),IF(H127&gt;=0,"Revogar o token",""),IF(H127&lt;0,"Token vencido",IF(H127&lt;=7,"Token vence em breve",""))))</f>
        <v/>
      </c>
      <c r="J127" s="16"/>
      <c r="K127" s="16"/>
      <c r="L127" s="21" t="str">
        <f aca="false">IF(E127="","",E127+7)</f>
        <v/>
      </c>
      <c r="M127" s="21" t="str">
        <f aca="false">IF(E127="","",E127+21)</f>
        <v/>
      </c>
      <c r="N127" s="15"/>
      <c r="O127" s="23"/>
      <c r="P127" s="15"/>
      <c r="Q127" s="15"/>
    </row>
    <row r="128" customFormat="false" ht="15" hidden="false" customHeight="false" outlineLevel="0" collapsed="false">
      <c r="A128" s="15"/>
      <c r="B128" s="15"/>
      <c r="C128" s="15"/>
      <c r="D128" s="14"/>
      <c r="E128" s="14"/>
      <c r="F128" s="21" t="str">
        <f aca="false">IF(E128="","",E128+30)</f>
        <v/>
      </c>
      <c r="G128" s="21" t="str">
        <f aca="false">IF(D128="","",D128+45)</f>
        <v/>
      </c>
      <c r="H128" s="17" t="str">
        <f aca="true">IF(G128="","",G128-TODAY())</f>
        <v/>
      </c>
      <c r="I128" s="22" t="str">
        <f aca="false">IF(H128="","",IF(OR(P128="Ganho",P128="Perdido"),IF(H128&gt;=0,"Revogar o token",""),IF(H128&lt;0,"Token vencido",IF(H128&lt;=7,"Token vence em breve",""))))</f>
        <v/>
      </c>
      <c r="J128" s="16"/>
      <c r="K128" s="16"/>
      <c r="L128" s="21" t="str">
        <f aca="false">IF(E128="","",E128+7)</f>
        <v/>
      </c>
      <c r="M128" s="21" t="str">
        <f aca="false">IF(E128="","",E128+21)</f>
        <v/>
      </c>
      <c r="N128" s="15"/>
      <c r="O128" s="23"/>
      <c r="P128" s="15"/>
      <c r="Q128" s="15"/>
    </row>
    <row r="129" customFormat="false" ht="15" hidden="false" customHeight="false" outlineLevel="0" collapsed="false">
      <c r="A129" s="15"/>
      <c r="B129" s="15"/>
      <c r="C129" s="15"/>
      <c r="D129" s="14"/>
      <c r="E129" s="14"/>
      <c r="F129" s="21" t="str">
        <f aca="false">IF(E129="","",E129+30)</f>
        <v/>
      </c>
      <c r="G129" s="21" t="str">
        <f aca="false">IF(D129="","",D129+45)</f>
        <v/>
      </c>
      <c r="H129" s="17" t="str">
        <f aca="true">IF(G129="","",G129-TODAY())</f>
        <v/>
      </c>
      <c r="I129" s="22" t="str">
        <f aca="false">IF(H129="","",IF(OR(P129="Ganho",P129="Perdido"),IF(H129&gt;=0,"Revogar o token",""),IF(H129&lt;0,"Token vencido",IF(H129&lt;=7,"Token vence em breve",""))))</f>
        <v/>
      </c>
      <c r="J129" s="16"/>
      <c r="K129" s="16"/>
      <c r="L129" s="21" t="str">
        <f aca="false">IF(E129="","",E129+7)</f>
        <v/>
      </c>
      <c r="M129" s="21" t="str">
        <f aca="false">IF(E129="","",E129+21)</f>
        <v/>
      </c>
      <c r="N129" s="15"/>
      <c r="O129" s="23"/>
      <c r="P129" s="15"/>
      <c r="Q129" s="15"/>
    </row>
    <row r="130" customFormat="false" ht="15" hidden="false" customHeight="false" outlineLevel="0" collapsed="false">
      <c r="A130" s="15"/>
      <c r="B130" s="15"/>
      <c r="C130" s="15"/>
      <c r="D130" s="14"/>
      <c r="E130" s="14"/>
      <c r="F130" s="21" t="str">
        <f aca="false">IF(E130="","",E130+30)</f>
        <v/>
      </c>
      <c r="G130" s="21" t="str">
        <f aca="false">IF(D130="","",D130+45)</f>
        <v/>
      </c>
      <c r="H130" s="17" t="str">
        <f aca="true">IF(G130="","",G130-TODAY())</f>
        <v/>
      </c>
      <c r="I130" s="22" t="str">
        <f aca="false">IF(H130="","",IF(OR(P130="Ganho",P130="Perdido"),IF(H130&gt;=0,"Revogar o token",""),IF(H130&lt;0,"Token vencido",IF(H130&lt;=7,"Token vence em breve",""))))</f>
        <v/>
      </c>
      <c r="J130" s="16"/>
      <c r="K130" s="16"/>
      <c r="L130" s="21" t="str">
        <f aca="false">IF(E130="","",E130+7)</f>
        <v/>
      </c>
      <c r="M130" s="21" t="str">
        <f aca="false">IF(E130="","",E130+21)</f>
        <v/>
      </c>
      <c r="N130" s="15"/>
      <c r="O130" s="23"/>
      <c r="P130" s="15"/>
      <c r="Q130" s="15"/>
    </row>
    <row r="131" customFormat="false" ht="15" hidden="false" customHeight="false" outlineLevel="0" collapsed="false">
      <c r="A131" s="15"/>
      <c r="B131" s="15"/>
      <c r="C131" s="15"/>
      <c r="D131" s="14"/>
      <c r="E131" s="14"/>
      <c r="F131" s="21" t="str">
        <f aca="false">IF(E131="","",E131+30)</f>
        <v/>
      </c>
      <c r="G131" s="21" t="str">
        <f aca="false">IF(D131="","",D131+45)</f>
        <v/>
      </c>
      <c r="H131" s="17" t="str">
        <f aca="true">IF(G131="","",G131-TODAY())</f>
        <v/>
      </c>
      <c r="I131" s="22" t="str">
        <f aca="false">IF(H131="","",IF(OR(P131="Ganho",P131="Perdido"),IF(H131&gt;=0,"Revogar o token",""),IF(H131&lt;0,"Token vencido",IF(H131&lt;=7,"Token vence em breve",""))))</f>
        <v/>
      </c>
      <c r="J131" s="16"/>
      <c r="K131" s="16"/>
      <c r="L131" s="21" t="str">
        <f aca="false">IF(E131="","",E131+7)</f>
        <v/>
      </c>
      <c r="M131" s="21" t="str">
        <f aca="false">IF(E131="","",E131+21)</f>
        <v/>
      </c>
      <c r="N131" s="15"/>
      <c r="O131" s="23"/>
      <c r="P131" s="15"/>
      <c r="Q131" s="15"/>
    </row>
    <row r="132" customFormat="false" ht="15" hidden="false" customHeight="false" outlineLevel="0" collapsed="false">
      <c r="A132" s="15"/>
      <c r="B132" s="15"/>
      <c r="C132" s="15"/>
      <c r="D132" s="14"/>
      <c r="E132" s="14"/>
      <c r="F132" s="21" t="str">
        <f aca="false">IF(E132="","",E132+30)</f>
        <v/>
      </c>
      <c r="G132" s="21" t="str">
        <f aca="false">IF(D132="","",D132+45)</f>
        <v/>
      </c>
      <c r="H132" s="17" t="str">
        <f aca="true">IF(G132="","",G132-TODAY())</f>
        <v/>
      </c>
      <c r="I132" s="22" t="str">
        <f aca="false">IF(H132="","",IF(OR(P132="Ganho",P132="Perdido"),IF(H132&gt;=0,"Revogar o token",""),IF(H132&lt;0,"Token vencido",IF(H132&lt;=7,"Token vence em breve",""))))</f>
        <v/>
      </c>
      <c r="J132" s="16"/>
      <c r="K132" s="16"/>
      <c r="L132" s="21" t="str">
        <f aca="false">IF(E132="","",E132+7)</f>
        <v/>
      </c>
      <c r="M132" s="21" t="str">
        <f aca="false">IF(E132="","",E132+21)</f>
        <v/>
      </c>
      <c r="N132" s="15"/>
      <c r="O132" s="23"/>
      <c r="P132" s="15"/>
      <c r="Q132" s="15"/>
    </row>
    <row r="133" customFormat="false" ht="15" hidden="false" customHeight="false" outlineLevel="0" collapsed="false">
      <c r="A133" s="15"/>
      <c r="B133" s="15"/>
      <c r="C133" s="15"/>
      <c r="D133" s="14"/>
      <c r="E133" s="14"/>
      <c r="F133" s="21" t="str">
        <f aca="false">IF(E133="","",E133+30)</f>
        <v/>
      </c>
      <c r="G133" s="21" t="str">
        <f aca="false">IF(D133="","",D133+45)</f>
        <v/>
      </c>
      <c r="H133" s="17" t="str">
        <f aca="true">IF(G133="","",G133-TODAY())</f>
        <v/>
      </c>
      <c r="I133" s="22" t="str">
        <f aca="false">IF(H133="","",IF(OR(P133="Ganho",P133="Perdido"),IF(H133&gt;=0,"Revogar o token",""),IF(H133&lt;0,"Token vencido",IF(H133&lt;=7,"Token vence em breve",""))))</f>
        <v/>
      </c>
      <c r="J133" s="16"/>
      <c r="K133" s="16"/>
      <c r="L133" s="21" t="str">
        <f aca="false">IF(E133="","",E133+7)</f>
        <v/>
      </c>
      <c r="M133" s="21" t="str">
        <f aca="false">IF(E133="","",E133+21)</f>
        <v/>
      </c>
      <c r="N133" s="15"/>
      <c r="O133" s="23"/>
      <c r="P133" s="15"/>
      <c r="Q133" s="15"/>
    </row>
    <row r="134" customFormat="false" ht="15" hidden="false" customHeight="false" outlineLevel="0" collapsed="false">
      <c r="A134" s="15"/>
      <c r="B134" s="15"/>
      <c r="C134" s="15"/>
      <c r="D134" s="14"/>
      <c r="E134" s="14"/>
      <c r="F134" s="21" t="str">
        <f aca="false">IF(E134="","",E134+30)</f>
        <v/>
      </c>
      <c r="G134" s="21" t="str">
        <f aca="false">IF(D134="","",D134+45)</f>
        <v/>
      </c>
      <c r="H134" s="17" t="str">
        <f aca="true">IF(G134="","",G134-TODAY())</f>
        <v/>
      </c>
      <c r="I134" s="22" t="str">
        <f aca="false">IF(H134="","",IF(OR(P134="Ganho",P134="Perdido"),IF(H134&gt;=0,"Revogar o token",""),IF(H134&lt;0,"Token vencido",IF(H134&lt;=7,"Token vence em breve",""))))</f>
        <v/>
      </c>
      <c r="J134" s="16"/>
      <c r="K134" s="16"/>
      <c r="L134" s="21" t="str">
        <f aca="false">IF(E134="","",E134+7)</f>
        <v/>
      </c>
      <c r="M134" s="21" t="str">
        <f aca="false">IF(E134="","",E134+21)</f>
        <v/>
      </c>
      <c r="N134" s="15"/>
      <c r="O134" s="23"/>
      <c r="P134" s="15"/>
      <c r="Q134" s="15"/>
    </row>
    <row r="135" customFormat="false" ht="15" hidden="false" customHeight="false" outlineLevel="0" collapsed="false">
      <c r="A135" s="15"/>
      <c r="B135" s="15"/>
      <c r="C135" s="15"/>
      <c r="D135" s="14"/>
      <c r="E135" s="14"/>
      <c r="F135" s="21" t="str">
        <f aca="false">IF(E135="","",E135+30)</f>
        <v/>
      </c>
      <c r="G135" s="21" t="str">
        <f aca="false">IF(D135="","",D135+45)</f>
        <v/>
      </c>
      <c r="H135" s="17" t="str">
        <f aca="true">IF(G135="","",G135-TODAY())</f>
        <v/>
      </c>
      <c r="I135" s="22" t="str">
        <f aca="false">IF(H135="","",IF(OR(P135="Ganho",P135="Perdido"),IF(H135&gt;=0,"Revogar o token",""),IF(H135&lt;0,"Token vencido",IF(H135&lt;=7,"Token vence em breve",""))))</f>
        <v/>
      </c>
      <c r="J135" s="16"/>
      <c r="K135" s="16"/>
      <c r="L135" s="21" t="str">
        <f aca="false">IF(E135="","",E135+7)</f>
        <v/>
      </c>
      <c r="M135" s="21" t="str">
        <f aca="false">IF(E135="","",E135+21)</f>
        <v/>
      </c>
      <c r="N135" s="15"/>
      <c r="O135" s="23"/>
      <c r="P135" s="15"/>
      <c r="Q135" s="15"/>
    </row>
    <row r="136" customFormat="false" ht="15" hidden="false" customHeight="false" outlineLevel="0" collapsed="false">
      <c r="A136" s="15"/>
      <c r="B136" s="15"/>
      <c r="C136" s="15"/>
      <c r="D136" s="14"/>
      <c r="E136" s="14"/>
      <c r="F136" s="21" t="str">
        <f aca="false">IF(E136="","",E136+30)</f>
        <v/>
      </c>
      <c r="G136" s="21" t="str">
        <f aca="false">IF(D136="","",D136+45)</f>
        <v/>
      </c>
      <c r="H136" s="17" t="str">
        <f aca="true">IF(G136="","",G136-TODAY())</f>
        <v/>
      </c>
      <c r="I136" s="22" t="str">
        <f aca="false">IF(H136="","",IF(OR(P136="Ganho",P136="Perdido"),IF(H136&gt;=0,"Revogar o token",""),IF(H136&lt;0,"Token vencido",IF(H136&lt;=7,"Token vence em breve",""))))</f>
        <v/>
      </c>
      <c r="J136" s="16"/>
      <c r="K136" s="16"/>
      <c r="L136" s="21" t="str">
        <f aca="false">IF(E136="","",E136+7)</f>
        <v/>
      </c>
      <c r="M136" s="21" t="str">
        <f aca="false">IF(E136="","",E136+21)</f>
        <v/>
      </c>
      <c r="N136" s="15"/>
      <c r="O136" s="23"/>
      <c r="P136" s="15"/>
      <c r="Q136" s="15"/>
    </row>
    <row r="137" customFormat="false" ht="15" hidden="false" customHeight="false" outlineLevel="0" collapsed="false">
      <c r="A137" s="15"/>
      <c r="B137" s="15"/>
      <c r="C137" s="15"/>
      <c r="D137" s="14"/>
      <c r="E137" s="14"/>
      <c r="F137" s="21" t="str">
        <f aca="false">IF(E137="","",E137+30)</f>
        <v/>
      </c>
      <c r="G137" s="21" t="str">
        <f aca="false">IF(D137="","",D137+45)</f>
        <v/>
      </c>
      <c r="H137" s="17" t="str">
        <f aca="true">IF(G137="","",G137-TODAY())</f>
        <v/>
      </c>
      <c r="I137" s="22" t="str">
        <f aca="false">IF(H137="","",IF(OR(P137="Ganho",P137="Perdido"),IF(H137&gt;=0,"Revogar o token",""),IF(H137&lt;0,"Token vencido",IF(H137&lt;=7,"Token vence em breve",""))))</f>
        <v/>
      </c>
      <c r="J137" s="16"/>
      <c r="K137" s="16"/>
      <c r="L137" s="21" t="str">
        <f aca="false">IF(E137="","",E137+7)</f>
        <v/>
      </c>
      <c r="M137" s="21" t="str">
        <f aca="false">IF(E137="","",E137+21)</f>
        <v/>
      </c>
      <c r="N137" s="15"/>
      <c r="O137" s="23"/>
      <c r="P137" s="15"/>
      <c r="Q137" s="15"/>
    </row>
    <row r="138" customFormat="false" ht="15" hidden="false" customHeight="false" outlineLevel="0" collapsed="false">
      <c r="A138" s="15"/>
      <c r="B138" s="15"/>
      <c r="C138" s="15"/>
      <c r="D138" s="14"/>
      <c r="E138" s="14"/>
      <c r="F138" s="21" t="str">
        <f aca="false">IF(E138="","",E138+30)</f>
        <v/>
      </c>
      <c r="G138" s="21" t="str">
        <f aca="false">IF(D138="","",D138+45)</f>
        <v/>
      </c>
      <c r="H138" s="17" t="str">
        <f aca="true">IF(G138="","",G138-TODAY())</f>
        <v/>
      </c>
      <c r="I138" s="22" t="str">
        <f aca="false">IF(H138="","",IF(OR(P138="Ganho",P138="Perdido"),IF(H138&gt;=0,"Revogar o token",""),IF(H138&lt;0,"Token vencido",IF(H138&lt;=7,"Token vence em breve",""))))</f>
        <v/>
      </c>
      <c r="J138" s="16"/>
      <c r="K138" s="16"/>
      <c r="L138" s="21" t="str">
        <f aca="false">IF(E138="","",E138+7)</f>
        <v/>
      </c>
      <c r="M138" s="21" t="str">
        <f aca="false">IF(E138="","",E138+21)</f>
        <v/>
      </c>
      <c r="N138" s="15"/>
      <c r="O138" s="23"/>
      <c r="P138" s="15"/>
      <c r="Q138" s="15"/>
    </row>
    <row r="139" customFormat="false" ht="15" hidden="false" customHeight="false" outlineLevel="0" collapsed="false">
      <c r="A139" s="15"/>
      <c r="B139" s="15"/>
      <c r="C139" s="15"/>
      <c r="D139" s="14"/>
      <c r="E139" s="14"/>
      <c r="F139" s="21" t="str">
        <f aca="false">IF(E139="","",E139+30)</f>
        <v/>
      </c>
      <c r="G139" s="21" t="str">
        <f aca="false">IF(D139="","",D139+45)</f>
        <v/>
      </c>
      <c r="H139" s="17" t="str">
        <f aca="true">IF(G139="","",G139-TODAY())</f>
        <v/>
      </c>
      <c r="I139" s="22" t="str">
        <f aca="false">IF(H139="","",IF(OR(P139="Ganho",P139="Perdido"),IF(H139&gt;=0,"Revogar o token",""),IF(H139&lt;0,"Token vencido",IF(H139&lt;=7,"Token vence em breve",""))))</f>
        <v/>
      </c>
      <c r="J139" s="16"/>
      <c r="K139" s="16"/>
      <c r="L139" s="21" t="str">
        <f aca="false">IF(E139="","",E139+7)</f>
        <v/>
      </c>
      <c r="M139" s="21" t="str">
        <f aca="false">IF(E139="","",E139+21)</f>
        <v/>
      </c>
      <c r="N139" s="15"/>
      <c r="O139" s="23"/>
      <c r="P139" s="15"/>
      <c r="Q139" s="15"/>
    </row>
    <row r="140" customFormat="false" ht="15" hidden="false" customHeight="false" outlineLevel="0" collapsed="false">
      <c r="A140" s="15"/>
      <c r="B140" s="15"/>
      <c r="C140" s="15"/>
      <c r="D140" s="14"/>
      <c r="E140" s="14"/>
      <c r="F140" s="21" t="str">
        <f aca="false">IF(E140="","",E140+30)</f>
        <v/>
      </c>
      <c r="G140" s="21" t="str">
        <f aca="false">IF(D140="","",D140+45)</f>
        <v/>
      </c>
      <c r="H140" s="17" t="str">
        <f aca="true">IF(G140="","",G140-TODAY())</f>
        <v/>
      </c>
      <c r="I140" s="22" t="str">
        <f aca="false">IF(H140="","",IF(OR(P140="Ganho",P140="Perdido"),IF(H140&gt;=0,"Revogar o token",""),IF(H140&lt;0,"Token vencido",IF(H140&lt;=7,"Token vence em breve",""))))</f>
        <v/>
      </c>
      <c r="J140" s="16"/>
      <c r="K140" s="16"/>
      <c r="L140" s="21" t="str">
        <f aca="false">IF(E140="","",E140+7)</f>
        <v/>
      </c>
      <c r="M140" s="21" t="str">
        <f aca="false">IF(E140="","",E140+21)</f>
        <v/>
      </c>
      <c r="N140" s="15"/>
      <c r="O140" s="23"/>
      <c r="P140" s="15"/>
      <c r="Q140" s="15"/>
    </row>
    <row r="141" customFormat="false" ht="15" hidden="false" customHeight="false" outlineLevel="0" collapsed="false">
      <c r="A141" s="15"/>
      <c r="B141" s="15"/>
      <c r="C141" s="15"/>
      <c r="D141" s="14"/>
      <c r="E141" s="14"/>
      <c r="F141" s="21" t="str">
        <f aca="false">IF(E141="","",E141+30)</f>
        <v/>
      </c>
      <c r="G141" s="21" t="str">
        <f aca="false">IF(D141="","",D141+45)</f>
        <v/>
      </c>
      <c r="H141" s="17" t="str">
        <f aca="true">IF(G141="","",G141-TODAY())</f>
        <v/>
      </c>
      <c r="I141" s="22" t="str">
        <f aca="false">IF(H141="","",IF(OR(P141="Ganho",P141="Perdido"),IF(H141&gt;=0,"Revogar o token",""),IF(H141&lt;0,"Token vencido",IF(H141&lt;=7,"Token vence em breve",""))))</f>
        <v/>
      </c>
      <c r="J141" s="16"/>
      <c r="K141" s="16"/>
      <c r="L141" s="21" t="str">
        <f aca="false">IF(E141="","",E141+7)</f>
        <v/>
      </c>
      <c r="M141" s="21" t="str">
        <f aca="false">IF(E141="","",E141+21)</f>
        <v/>
      </c>
      <c r="N141" s="15"/>
      <c r="O141" s="23"/>
      <c r="P141" s="15"/>
      <c r="Q141" s="15"/>
    </row>
    <row r="142" customFormat="false" ht="15" hidden="false" customHeight="false" outlineLevel="0" collapsed="false">
      <c r="A142" s="15"/>
      <c r="B142" s="15"/>
      <c r="C142" s="15"/>
      <c r="D142" s="14"/>
      <c r="E142" s="14"/>
      <c r="F142" s="21" t="str">
        <f aca="false">IF(E142="","",E142+30)</f>
        <v/>
      </c>
      <c r="G142" s="21" t="str">
        <f aca="false">IF(D142="","",D142+45)</f>
        <v/>
      </c>
      <c r="H142" s="17" t="str">
        <f aca="true">IF(G142="","",G142-TODAY())</f>
        <v/>
      </c>
      <c r="I142" s="22" t="str">
        <f aca="false">IF(H142="","",IF(OR(P142="Ganho",P142="Perdido"),IF(H142&gt;=0,"Revogar o token",""),IF(H142&lt;0,"Token vencido",IF(H142&lt;=7,"Token vence em breve",""))))</f>
        <v/>
      </c>
      <c r="J142" s="16"/>
      <c r="K142" s="16"/>
      <c r="L142" s="21" t="str">
        <f aca="false">IF(E142="","",E142+7)</f>
        <v/>
      </c>
      <c r="M142" s="21" t="str">
        <f aca="false">IF(E142="","",E142+21)</f>
        <v/>
      </c>
      <c r="N142" s="15"/>
      <c r="O142" s="23"/>
      <c r="P142" s="15"/>
      <c r="Q142" s="15"/>
    </row>
    <row r="143" customFormat="false" ht="15" hidden="false" customHeight="false" outlineLevel="0" collapsed="false">
      <c r="A143" s="15"/>
      <c r="B143" s="15"/>
      <c r="C143" s="15"/>
      <c r="D143" s="14"/>
      <c r="E143" s="14"/>
      <c r="F143" s="21" t="str">
        <f aca="false">IF(E143="","",E143+30)</f>
        <v/>
      </c>
      <c r="G143" s="21" t="str">
        <f aca="false">IF(D143="","",D143+45)</f>
        <v/>
      </c>
      <c r="H143" s="17" t="str">
        <f aca="true">IF(G143="","",G143-TODAY())</f>
        <v/>
      </c>
      <c r="I143" s="22" t="str">
        <f aca="false">IF(H143="","",IF(OR(P143="Ganho",P143="Perdido"),IF(H143&gt;=0,"Revogar o token",""),IF(H143&lt;0,"Token vencido",IF(H143&lt;=7,"Token vence em breve",""))))</f>
        <v/>
      </c>
      <c r="J143" s="16"/>
      <c r="K143" s="16"/>
      <c r="L143" s="21" t="str">
        <f aca="false">IF(E143="","",E143+7)</f>
        <v/>
      </c>
      <c r="M143" s="21" t="str">
        <f aca="false">IF(E143="","",E143+21)</f>
        <v/>
      </c>
      <c r="N143" s="15"/>
      <c r="O143" s="23"/>
      <c r="P143" s="15"/>
      <c r="Q143" s="15"/>
    </row>
    <row r="144" customFormat="false" ht="15" hidden="false" customHeight="false" outlineLevel="0" collapsed="false">
      <c r="A144" s="15"/>
      <c r="B144" s="15"/>
      <c r="C144" s="15"/>
      <c r="D144" s="14"/>
      <c r="E144" s="14"/>
      <c r="F144" s="21" t="str">
        <f aca="false">IF(E144="","",E144+30)</f>
        <v/>
      </c>
      <c r="G144" s="21" t="str">
        <f aca="false">IF(D144="","",D144+45)</f>
        <v/>
      </c>
      <c r="H144" s="17" t="str">
        <f aca="true">IF(G144="","",G144-TODAY())</f>
        <v/>
      </c>
      <c r="I144" s="22" t="str">
        <f aca="false">IF(H144="","",IF(OR(P144="Ganho",P144="Perdido"),IF(H144&gt;=0,"Revogar o token",""),IF(H144&lt;0,"Token vencido",IF(H144&lt;=7,"Token vence em breve",""))))</f>
        <v/>
      </c>
      <c r="J144" s="16"/>
      <c r="K144" s="16"/>
      <c r="L144" s="21" t="str">
        <f aca="false">IF(E144="","",E144+7)</f>
        <v/>
      </c>
      <c r="M144" s="21" t="str">
        <f aca="false">IF(E144="","",E144+21)</f>
        <v/>
      </c>
      <c r="N144" s="15"/>
      <c r="O144" s="23"/>
      <c r="P144" s="15"/>
      <c r="Q144" s="15"/>
    </row>
    <row r="145" customFormat="false" ht="15" hidden="false" customHeight="false" outlineLevel="0" collapsed="false">
      <c r="A145" s="15"/>
      <c r="B145" s="15"/>
      <c r="C145" s="15"/>
      <c r="D145" s="14"/>
      <c r="E145" s="14"/>
      <c r="F145" s="21" t="str">
        <f aca="false">IF(E145="","",E145+30)</f>
        <v/>
      </c>
      <c r="G145" s="21" t="str">
        <f aca="false">IF(D145="","",D145+45)</f>
        <v/>
      </c>
      <c r="H145" s="17" t="str">
        <f aca="true">IF(G145="","",G145-TODAY())</f>
        <v/>
      </c>
      <c r="I145" s="22" t="str">
        <f aca="false">IF(H145="","",IF(OR(P145="Ganho",P145="Perdido"),IF(H145&gt;=0,"Revogar o token",""),IF(H145&lt;0,"Token vencido",IF(H145&lt;=7,"Token vence em breve",""))))</f>
        <v/>
      </c>
      <c r="J145" s="16"/>
      <c r="K145" s="16"/>
      <c r="L145" s="21" t="str">
        <f aca="false">IF(E145="","",E145+7)</f>
        <v/>
      </c>
      <c r="M145" s="21" t="str">
        <f aca="false">IF(E145="","",E145+21)</f>
        <v/>
      </c>
      <c r="N145" s="15"/>
      <c r="O145" s="23"/>
      <c r="P145" s="15"/>
      <c r="Q145" s="15"/>
    </row>
    <row r="146" customFormat="false" ht="15" hidden="false" customHeight="false" outlineLevel="0" collapsed="false">
      <c r="A146" s="15"/>
      <c r="B146" s="15"/>
      <c r="C146" s="15"/>
      <c r="D146" s="14"/>
      <c r="E146" s="14"/>
      <c r="F146" s="21" t="str">
        <f aca="false">IF(E146="","",E146+30)</f>
        <v/>
      </c>
      <c r="G146" s="21" t="str">
        <f aca="false">IF(D146="","",D146+45)</f>
        <v/>
      </c>
      <c r="H146" s="17" t="str">
        <f aca="true">IF(G146="","",G146-TODAY())</f>
        <v/>
      </c>
      <c r="I146" s="22" t="str">
        <f aca="false">IF(H146="","",IF(OR(P146="Ganho",P146="Perdido"),IF(H146&gt;=0,"Revogar o token",""),IF(H146&lt;0,"Token vencido",IF(H146&lt;=7,"Token vence em breve",""))))</f>
        <v/>
      </c>
      <c r="J146" s="16"/>
      <c r="K146" s="16"/>
      <c r="L146" s="21" t="str">
        <f aca="false">IF(E146="","",E146+7)</f>
        <v/>
      </c>
      <c r="M146" s="21" t="str">
        <f aca="false">IF(E146="","",E146+21)</f>
        <v/>
      </c>
      <c r="N146" s="15"/>
      <c r="O146" s="23"/>
      <c r="P146" s="15"/>
      <c r="Q146" s="15"/>
    </row>
    <row r="147" customFormat="false" ht="15" hidden="false" customHeight="false" outlineLevel="0" collapsed="false">
      <c r="A147" s="15"/>
      <c r="B147" s="15"/>
      <c r="C147" s="15"/>
      <c r="D147" s="14"/>
      <c r="E147" s="14"/>
      <c r="F147" s="21" t="str">
        <f aca="false">IF(E147="","",E147+30)</f>
        <v/>
      </c>
      <c r="G147" s="21" t="str">
        <f aca="false">IF(D147="","",D147+45)</f>
        <v/>
      </c>
      <c r="H147" s="17" t="str">
        <f aca="true">IF(G147="","",G147-TODAY())</f>
        <v/>
      </c>
      <c r="I147" s="22" t="str">
        <f aca="false">IF(H147="","",IF(OR(P147="Ganho",P147="Perdido"),IF(H147&gt;=0,"Revogar o token",""),IF(H147&lt;0,"Token vencido",IF(H147&lt;=7,"Token vence em breve",""))))</f>
        <v/>
      </c>
      <c r="J147" s="16"/>
      <c r="K147" s="16"/>
      <c r="L147" s="21" t="str">
        <f aca="false">IF(E147="","",E147+7)</f>
        <v/>
      </c>
      <c r="M147" s="21" t="str">
        <f aca="false">IF(E147="","",E147+21)</f>
        <v/>
      </c>
      <c r="N147" s="15"/>
      <c r="O147" s="23"/>
      <c r="P147" s="15"/>
      <c r="Q147" s="15"/>
    </row>
    <row r="148" customFormat="false" ht="15" hidden="false" customHeight="false" outlineLevel="0" collapsed="false">
      <c r="A148" s="15"/>
      <c r="B148" s="15"/>
      <c r="C148" s="15"/>
      <c r="D148" s="14"/>
      <c r="E148" s="14"/>
      <c r="F148" s="21" t="str">
        <f aca="false">IF(E148="","",E148+30)</f>
        <v/>
      </c>
      <c r="G148" s="21" t="str">
        <f aca="false">IF(D148="","",D148+45)</f>
        <v/>
      </c>
      <c r="H148" s="17" t="str">
        <f aca="true">IF(G148="","",G148-TODAY())</f>
        <v/>
      </c>
      <c r="I148" s="22" t="str">
        <f aca="false">IF(H148="","",IF(OR(P148="Ganho",P148="Perdido"),IF(H148&gt;=0,"Revogar o token",""),IF(H148&lt;0,"Token vencido",IF(H148&lt;=7,"Token vence em breve",""))))</f>
        <v/>
      </c>
      <c r="J148" s="16"/>
      <c r="K148" s="16"/>
      <c r="L148" s="21" t="str">
        <f aca="false">IF(E148="","",E148+7)</f>
        <v/>
      </c>
      <c r="M148" s="21" t="str">
        <f aca="false">IF(E148="","",E148+21)</f>
        <v/>
      </c>
      <c r="N148" s="15"/>
      <c r="O148" s="23"/>
      <c r="P148" s="15"/>
      <c r="Q148" s="15"/>
    </row>
    <row r="149" customFormat="false" ht="15" hidden="false" customHeight="false" outlineLevel="0" collapsed="false">
      <c r="A149" s="15"/>
      <c r="B149" s="15"/>
      <c r="C149" s="15"/>
      <c r="D149" s="14"/>
      <c r="E149" s="14"/>
      <c r="F149" s="21" t="str">
        <f aca="false">IF(E149="","",E149+30)</f>
        <v/>
      </c>
      <c r="G149" s="21" t="str">
        <f aca="false">IF(D149="","",D149+45)</f>
        <v/>
      </c>
      <c r="H149" s="17" t="str">
        <f aca="true">IF(G149="","",G149-TODAY())</f>
        <v/>
      </c>
      <c r="I149" s="22" t="str">
        <f aca="false">IF(H149="","",IF(OR(P149="Ganho",P149="Perdido"),IF(H149&gt;=0,"Revogar o token",""),IF(H149&lt;0,"Token vencido",IF(H149&lt;=7,"Token vence em breve",""))))</f>
        <v/>
      </c>
      <c r="J149" s="16"/>
      <c r="K149" s="16"/>
      <c r="L149" s="21" t="str">
        <f aca="false">IF(E149="","",E149+7)</f>
        <v/>
      </c>
      <c r="M149" s="21" t="str">
        <f aca="false">IF(E149="","",E149+21)</f>
        <v/>
      </c>
      <c r="N149" s="15"/>
      <c r="O149" s="23"/>
      <c r="P149" s="15"/>
      <c r="Q149" s="15"/>
    </row>
    <row r="150" customFormat="false" ht="15" hidden="false" customHeight="false" outlineLevel="0" collapsed="false">
      <c r="A150" s="15"/>
      <c r="B150" s="15"/>
      <c r="C150" s="15"/>
      <c r="D150" s="14"/>
      <c r="E150" s="14"/>
      <c r="F150" s="21" t="str">
        <f aca="false">IF(E150="","",E150+30)</f>
        <v/>
      </c>
      <c r="G150" s="21" t="str">
        <f aca="false">IF(D150="","",D150+45)</f>
        <v/>
      </c>
      <c r="H150" s="17" t="str">
        <f aca="true">IF(G150="","",G150-TODAY())</f>
        <v/>
      </c>
      <c r="I150" s="22" t="str">
        <f aca="false">IF(H150="","",IF(OR(P150="Ganho",P150="Perdido"),IF(H150&gt;=0,"Revogar o token",""),IF(H150&lt;0,"Token vencido",IF(H150&lt;=7,"Token vence em breve",""))))</f>
        <v/>
      </c>
      <c r="J150" s="16"/>
      <c r="K150" s="16"/>
      <c r="L150" s="21" t="str">
        <f aca="false">IF(E150="","",E150+7)</f>
        <v/>
      </c>
      <c r="M150" s="21" t="str">
        <f aca="false">IF(E150="","",E150+21)</f>
        <v/>
      </c>
      <c r="N150" s="15"/>
      <c r="O150" s="23"/>
      <c r="P150" s="15"/>
      <c r="Q150" s="15"/>
    </row>
    <row r="151" customFormat="false" ht="15" hidden="false" customHeight="false" outlineLevel="0" collapsed="false">
      <c r="A151" s="15"/>
      <c r="B151" s="15"/>
      <c r="C151" s="15"/>
      <c r="D151" s="14"/>
      <c r="E151" s="14"/>
      <c r="F151" s="21" t="str">
        <f aca="false">IF(E151="","",E151+30)</f>
        <v/>
      </c>
      <c r="G151" s="21" t="str">
        <f aca="false">IF(D151="","",D151+45)</f>
        <v/>
      </c>
      <c r="H151" s="17" t="str">
        <f aca="true">IF(G151="","",G151-TODAY())</f>
        <v/>
      </c>
      <c r="I151" s="22" t="str">
        <f aca="false">IF(H151="","",IF(OR(P151="Ganho",P151="Perdido"),IF(H151&gt;=0,"Revogar o token",""),IF(H151&lt;0,"Token vencido",IF(H151&lt;=7,"Token vence em breve",""))))</f>
        <v/>
      </c>
      <c r="J151" s="16"/>
      <c r="K151" s="16"/>
      <c r="L151" s="21" t="str">
        <f aca="false">IF(E151="","",E151+7)</f>
        <v/>
      </c>
      <c r="M151" s="21" t="str">
        <f aca="false">IF(E151="","",E151+21)</f>
        <v/>
      </c>
      <c r="N151" s="15"/>
      <c r="O151" s="23"/>
      <c r="P151" s="15"/>
      <c r="Q151" s="15"/>
    </row>
    <row r="152" customFormat="false" ht="15" hidden="false" customHeight="false" outlineLevel="0" collapsed="false">
      <c r="A152" s="15"/>
      <c r="B152" s="15"/>
      <c r="C152" s="15"/>
      <c r="D152" s="14"/>
      <c r="E152" s="14"/>
      <c r="F152" s="21" t="str">
        <f aca="false">IF(E152="","",E152+30)</f>
        <v/>
      </c>
      <c r="G152" s="21" t="str">
        <f aca="false">IF(D152="","",D152+45)</f>
        <v/>
      </c>
      <c r="H152" s="17" t="str">
        <f aca="true">IF(G152="","",G152-TODAY())</f>
        <v/>
      </c>
      <c r="I152" s="22" t="str">
        <f aca="false">IF(H152="","",IF(OR(P152="Ganho",P152="Perdido"),IF(H152&gt;=0,"Revogar o token",""),IF(H152&lt;0,"Token vencido",IF(H152&lt;=7,"Token vence em breve",""))))</f>
        <v/>
      </c>
      <c r="J152" s="16"/>
      <c r="K152" s="16"/>
      <c r="L152" s="21" t="str">
        <f aca="false">IF(E152="","",E152+7)</f>
        <v/>
      </c>
      <c r="M152" s="21" t="str">
        <f aca="false">IF(E152="","",E152+21)</f>
        <v/>
      </c>
      <c r="N152" s="15"/>
      <c r="O152" s="23"/>
      <c r="P152" s="15"/>
      <c r="Q152" s="15"/>
    </row>
    <row r="153" customFormat="false" ht="15" hidden="false" customHeight="false" outlineLevel="0" collapsed="false">
      <c r="A153" s="15"/>
      <c r="B153" s="15"/>
      <c r="C153" s="15"/>
      <c r="D153" s="14"/>
      <c r="E153" s="14"/>
      <c r="F153" s="21" t="str">
        <f aca="false">IF(E153="","",E153+30)</f>
        <v/>
      </c>
      <c r="G153" s="21" t="str">
        <f aca="false">IF(D153="","",D153+45)</f>
        <v/>
      </c>
      <c r="H153" s="17" t="str">
        <f aca="true">IF(G153="","",G153-TODAY())</f>
        <v/>
      </c>
      <c r="I153" s="22" t="str">
        <f aca="false">IF(H153="","",IF(OR(P153="Ganho",P153="Perdido"),IF(H153&gt;=0,"Revogar o token",""),IF(H153&lt;0,"Token vencido",IF(H153&lt;=7,"Token vence em breve",""))))</f>
        <v/>
      </c>
      <c r="J153" s="16"/>
      <c r="K153" s="16"/>
      <c r="L153" s="21" t="str">
        <f aca="false">IF(E153="","",E153+7)</f>
        <v/>
      </c>
      <c r="M153" s="21" t="str">
        <f aca="false">IF(E153="","",E153+21)</f>
        <v/>
      </c>
      <c r="N153" s="15"/>
      <c r="O153" s="23"/>
      <c r="P153" s="15"/>
      <c r="Q153" s="15"/>
    </row>
    <row r="154" customFormat="false" ht="15" hidden="false" customHeight="false" outlineLevel="0" collapsed="false">
      <c r="A154" s="15"/>
      <c r="B154" s="15"/>
      <c r="C154" s="15"/>
      <c r="D154" s="14"/>
      <c r="E154" s="14"/>
      <c r="F154" s="21" t="str">
        <f aca="false">IF(E154="","",E154+30)</f>
        <v/>
      </c>
      <c r="G154" s="21" t="str">
        <f aca="false">IF(D154="","",D154+45)</f>
        <v/>
      </c>
      <c r="H154" s="17" t="str">
        <f aca="true">IF(G154="","",G154-TODAY())</f>
        <v/>
      </c>
      <c r="I154" s="22" t="str">
        <f aca="false">IF(H154="","",IF(OR(P154="Ganho",P154="Perdido"),IF(H154&gt;=0,"Revogar o token",""),IF(H154&lt;0,"Token vencido",IF(H154&lt;=7,"Token vence em breve",""))))</f>
        <v/>
      </c>
      <c r="J154" s="16"/>
      <c r="K154" s="16"/>
      <c r="L154" s="21" t="str">
        <f aca="false">IF(E154="","",E154+7)</f>
        <v/>
      </c>
      <c r="M154" s="21" t="str">
        <f aca="false">IF(E154="","",E154+21)</f>
        <v/>
      </c>
      <c r="N154" s="15"/>
      <c r="O154" s="23"/>
      <c r="P154" s="15"/>
      <c r="Q154" s="15"/>
    </row>
    <row r="155" customFormat="false" ht="15" hidden="false" customHeight="false" outlineLevel="0" collapsed="false">
      <c r="A155" s="15"/>
      <c r="B155" s="15"/>
      <c r="C155" s="15"/>
      <c r="D155" s="14"/>
      <c r="E155" s="14"/>
      <c r="F155" s="21" t="str">
        <f aca="false">IF(E155="","",E155+30)</f>
        <v/>
      </c>
      <c r="G155" s="21" t="str">
        <f aca="false">IF(D155="","",D155+45)</f>
        <v/>
      </c>
      <c r="H155" s="17" t="str">
        <f aca="true">IF(G155="","",G155-TODAY())</f>
        <v/>
      </c>
      <c r="I155" s="22" t="str">
        <f aca="false">IF(H155="","",IF(OR(P155="Ganho",P155="Perdido"),IF(H155&gt;=0,"Revogar o token",""),IF(H155&lt;0,"Token vencido",IF(H155&lt;=7,"Token vence em breve",""))))</f>
        <v/>
      </c>
      <c r="J155" s="16"/>
      <c r="K155" s="16"/>
      <c r="L155" s="21" t="str">
        <f aca="false">IF(E155="","",E155+7)</f>
        <v/>
      </c>
      <c r="M155" s="21" t="str">
        <f aca="false">IF(E155="","",E155+21)</f>
        <v/>
      </c>
      <c r="N155" s="15"/>
      <c r="O155" s="23"/>
      <c r="P155" s="15"/>
      <c r="Q155" s="15"/>
    </row>
    <row r="156" customFormat="false" ht="15" hidden="false" customHeight="false" outlineLevel="0" collapsed="false">
      <c r="A156" s="15"/>
      <c r="B156" s="15"/>
      <c r="C156" s="15"/>
      <c r="D156" s="14"/>
      <c r="E156" s="14"/>
      <c r="F156" s="21" t="str">
        <f aca="false">IF(E156="","",E156+30)</f>
        <v/>
      </c>
      <c r="G156" s="21" t="str">
        <f aca="false">IF(D156="","",D156+45)</f>
        <v/>
      </c>
      <c r="H156" s="17" t="str">
        <f aca="true">IF(G156="","",G156-TODAY())</f>
        <v/>
      </c>
      <c r="I156" s="22" t="str">
        <f aca="false">IF(H156="","",IF(OR(P156="Ganho",P156="Perdido"),IF(H156&gt;=0,"Revogar o token",""),IF(H156&lt;0,"Token vencido",IF(H156&lt;=7,"Token vence em breve",""))))</f>
        <v/>
      </c>
      <c r="J156" s="16"/>
      <c r="K156" s="16"/>
      <c r="L156" s="21" t="str">
        <f aca="false">IF(E156="","",E156+7)</f>
        <v/>
      </c>
      <c r="M156" s="21" t="str">
        <f aca="false">IF(E156="","",E156+21)</f>
        <v/>
      </c>
      <c r="N156" s="15"/>
      <c r="O156" s="23"/>
      <c r="P156" s="15"/>
      <c r="Q156" s="15"/>
    </row>
    <row r="157" customFormat="false" ht="15" hidden="false" customHeight="false" outlineLevel="0" collapsed="false">
      <c r="A157" s="15"/>
      <c r="B157" s="15"/>
      <c r="C157" s="15"/>
      <c r="D157" s="14"/>
      <c r="E157" s="14"/>
      <c r="F157" s="21" t="str">
        <f aca="false">IF(E157="","",E157+30)</f>
        <v/>
      </c>
      <c r="G157" s="21" t="str">
        <f aca="false">IF(D157="","",D157+45)</f>
        <v/>
      </c>
      <c r="H157" s="17" t="str">
        <f aca="true">IF(G157="","",G157-TODAY())</f>
        <v/>
      </c>
      <c r="I157" s="22" t="str">
        <f aca="false">IF(H157="","",IF(OR(P157="Ganho",P157="Perdido"),IF(H157&gt;=0,"Revogar o token",""),IF(H157&lt;0,"Token vencido",IF(H157&lt;=7,"Token vence em breve",""))))</f>
        <v/>
      </c>
      <c r="J157" s="16"/>
      <c r="K157" s="16"/>
      <c r="L157" s="21" t="str">
        <f aca="false">IF(E157="","",E157+7)</f>
        <v/>
      </c>
      <c r="M157" s="21" t="str">
        <f aca="false">IF(E157="","",E157+21)</f>
        <v/>
      </c>
      <c r="N157" s="15"/>
      <c r="O157" s="23"/>
      <c r="P157" s="15"/>
      <c r="Q157" s="15"/>
    </row>
    <row r="158" customFormat="false" ht="15" hidden="false" customHeight="false" outlineLevel="0" collapsed="false">
      <c r="A158" s="15"/>
      <c r="B158" s="15"/>
      <c r="C158" s="15"/>
      <c r="D158" s="14"/>
      <c r="E158" s="14"/>
      <c r="F158" s="21" t="str">
        <f aca="false">IF(E158="","",E158+30)</f>
        <v/>
      </c>
      <c r="G158" s="21" t="str">
        <f aca="false">IF(D158="","",D158+45)</f>
        <v/>
      </c>
      <c r="H158" s="17" t="str">
        <f aca="true">IF(G158="","",G158-TODAY())</f>
        <v/>
      </c>
      <c r="I158" s="22" t="str">
        <f aca="false">IF(H158="","",IF(OR(P158="Ganho",P158="Perdido"),IF(H158&gt;=0,"Revogar o token",""),IF(H158&lt;0,"Token vencido",IF(H158&lt;=7,"Token vence em breve",""))))</f>
        <v/>
      </c>
      <c r="J158" s="16"/>
      <c r="K158" s="16"/>
      <c r="L158" s="21" t="str">
        <f aca="false">IF(E158="","",E158+7)</f>
        <v/>
      </c>
      <c r="M158" s="21" t="str">
        <f aca="false">IF(E158="","",E158+21)</f>
        <v/>
      </c>
      <c r="N158" s="15"/>
      <c r="O158" s="23"/>
      <c r="P158" s="15"/>
      <c r="Q158" s="15"/>
    </row>
    <row r="159" customFormat="false" ht="15" hidden="false" customHeight="false" outlineLevel="0" collapsed="false">
      <c r="A159" s="15"/>
      <c r="B159" s="15"/>
      <c r="C159" s="15"/>
      <c r="D159" s="14"/>
      <c r="E159" s="14"/>
      <c r="F159" s="21" t="str">
        <f aca="false">IF(E159="","",E159+30)</f>
        <v/>
      </c>
      <c r="G159" s="21" t="str">
        <f aca="false">IF(D159="","",D159+45)</f>
        <v/>
      </c>
      <c r="H159" s="17" t="str">
        <f aca="true">IF(G159="","",G159-TODAY())</f>
        <v/>
      </c>
      <c r="I159" s="22" t="str">
        <f aca="false">IF(H159="","",IF(OR(P159="Ganho",P159="Perdido"),IF(H159&gt;=0,"Revogar o token",""),IF(H159&lt;0,"Token vencido",IF(H159&lt;=7,"Token vence em breve",""))))</f>
        <v/>
      </c>
      <c r="J159" s="16"/>
      <c r="K159" s="16"/>
      <c r="L159" s="21" t="str">
        <f aca="false">IF(E159="","",E159+7)</f>
        <v/>
      </c>
      <c r="M159" s="21" t="str">
        <f aca="false">IF(E159="","",E159+21)</f>
        <v/>
      </c>
      <c r="N159" s="15"/>
      <c r="O159" s="23"/>
      <c r="P159" s="15"/>
      <c r="Q159" s="15"/>
    </row>
    <row r="160" customFormat="false" ht="15" hidden="false" customHeight="false" outlineLevel="0" collapsed="false">
      <c r="A160" s="15"/>
      <c r="B160" s="15"/>
      <c r="C160" s="15"/>
      <c r="D160" s="14"/>
      <c r="E160" s="14"/>
      <c r="F160" s="21" t="str">
        <f aca="false">IF(E160="","",E160+30)</f>
        <v/>
      </c>
      <c r="G160" s="21" t="str">
        <f aca="false">IF(D160="","",D160+45)</f>
        <v/>
      </c>
      <c r="H160" s="17" t="str">
        <f aca="true">IF(G160="","",G160-TODAY())</f>
        <v/>
      </c>
      <c r="I160" s="22" t="str">
        <f aca="false">IF(H160="","",IF(OR(P160="Ganho",P160="Perdido"),IF(H160&gt;=0,"Revogar o token",""),IF(H160&lt;0,"Token vencido",IF(H160&lt;=7,"Token vence em breve",""))))</f>
        <v/>
      </c>
      <c r="J160" s="16"/>
      <c r="K160" s="16"/>
      <c r="L160" s="21" t="str">
        <f aca="false">IF(E160="","",E160+7)</f>
        <v/>
      </c>
      <c r="M160" s="21" t="str">
        <f aca="false">IF(E160="","",E160+21)</f>
        <v/>
      </c>
      <c r="N160" s="15"/>
      <c r="O160" s="23"/>
      <c r="P160" s="15"/>
      <c r="Q160" s="15"/>
    </row>
    <row r="161" customFormat="false" ht="15" hidden="false" customHeight="false" outlineLevel="0" collapsed="false">
      <c r="A161" s="15"/>
      <c r="B161" s="15"/>
      <c r="C161" s="15"/>
      <c r="D161" s="14"/>
      <c r="E161" s="14"/>
      <c r="F161" s="21" t="str">
        <f aca="false">IF(E161="","",E161+30)</f>
        <v/>
      </c>
      <c r="G161" s="21" t="str">
        <f aca="false">IF(D161="","",D161+45)</f>
        <v/>
      </c>
      <c r="H161" s="17" t="str">
        <f aca="true">IF(G161="","",G161-TODAY())</f>
        <v/>
      </c>
      <c r="I161" s="22" t="str">
        <f aca="false">IF(H161="","",IF(OR(P161="Ganho",P161="Perdido"),IF(H161&gt;=0,"Revogar o token",""),IF(H161&lt;0,"Token vencido",IF(H161&lt;=7,"Token vence em breve",""))))</f>
        <v/>
      </c>
      <c r="J161" s="16"/>
      <c r="K161" s="16"/>
      <c r="L161" s="21" t="str">
        <f aca="false">IF(E161="","",E161+7)</f>
        <v/>
      </c>
      <c r="M161" s="21" t="str">
        <f aca="false">IF(E161="","",E161+21)</f>
        <v/>
      </c>
      <c r="N161" s="15"/>
      <c r="O161" s="23"/>
      <c r="P161" s="15"/>
      <c r="Q161" s="15"/>
    </row>
    <row r="162" customFormat="false" ht="15" hidden="false" customHeight="false" outlineLevel="0" collapsed="false">
      <c r="A162" s="15"/>
      <c r="B162" s="15"/>
      <c r="C162" s="15"/>
      <c r="D162" s="14"/>
      <c r="E162" s="14"/>
      <c r="F162" s="21" t="str">
        <f aca="false">IF(E162="","",E162+30)</f>
        <v/>
      </c>
      <c r="G162" s="21" t="str">
        <f aca="false">IF(D162="","",D162+45)</f>
        <v/>
      </c>
      <c r="H162" s="17" t="str">
        <f aca="true">IF(G162="","",G162-TODAY())</f>
        <v/>
      </c>
      <c r="I162" s="22" t="str">
        <f aca="false">IF(H162="","",IF(OR(P162="Ganho",P162="Perdido"),IF(H162&gt;=0,"Revogar o token",""),IF(H162&lt;0,"Token vencido",IF(H162&lt;=7,"Token vence em breve",""))))</f>
        <v/>
      </c>
      <c r="J162" s="16"/>
      <c r="K162" s="16"/>
      <c r="L162" s="21" t="str">
        <f aca="false">IF(E162="","",E162+7)</f>
        <v/>
      </c>
      <c r="M162" s="21" t="str">
        <f aca="false">IF(E162="","",E162+21)</f>
        <v/>
      </c>
      <c r="N162" s="15"/>
      <c r="O162" s="23"/>
      <c r="P162" s="15"/>
      <c r="Q162" s="15"/>
    </row>
    <row r="163" customFormat="false" ht="15" hidden="false" customHeight="false" outlineLevel="0" collapsed="false">
      <c r="A163" s="15"/>
      <c r="B163" s="15"/>
      <c r="C163" s="15"/>
      <c r="D163" s="14"/>
      <c r="E163" s="14"/>
      <c r="F163" s="21" t="str">
        <f aca="false">IF(E163="","",E163+30)</f>
        <v/>
      </c>
      <c r="G163" s="21" t="str">
        <f aca="false">IF(D163="","",D163+45)</f>
        <v/>
      </c>
      <c r="H163" s="17" t="str">
        <f aca="true">IF(G163="","",G163-TODAY())</f>
        <v/>
      </c>
      <c r="I163" s="22" t="str">
        <f aca="false">IF(H163="","",IF(OR(P163="Ganho",P163="Perdido"),IF(H163&gt;=0,"Revogar o token",""),IF(H163&lt;0,"Token vencido",IF(H163&lt;=7,"Token vence em breve",""))))</f>
        <v/>
      </c>
      <c r="J163" s="16"/>
      <c r="K163" s="16"/>
      <c r="L163" s="21" t="str">
        <f aca="false">IF(E163="","",E163+7)</f>
        <v/>
      </c>
      <c r="M163" s="21" t="str">
        <f aca="false">IF(E163="","",E163+21)</f>
        <v/>
      </c>
      <c r="N163" s="15"/>
      <c r="O163" s="23"/>
      <c r="P163" s="15"/>
      <c r="Q163" s="15"/>
    </row>
    <row r="164" customFormat="false" ht="15" hidden="false" customHeight="false" outlineLevel="0" collapsed="false">
      <c r="A164" s="15"/>
      <c r="B164" s="15"/>
      <c r="C164" s="15"/>
      <c r="D164" s="14"/>
      <c r="E164" s="14"/>
      <c r="F164" s="21" t="str">
        <f aca="false">IF(E164="","",E164+30)</f>
        <v/>
      </c>
      <c r="G164" s="21" t="str">
        <f aca="false">IF(D164="","",D164+45)</f>
        <v/>
      </c>
      <c r="H164" s="17" t="str">
        <f aca="true">IF(G164="","",G164-TODAY())</f>
        <v/>
      </c>
      <c r="I164" s="22" t="str">
        <f aca="false">IF(H164="","",IF(OR(P164="Ganho",P164="Perdido"),IF(H164&gt;=0,"Revogar o token",""),IF(H164&lt;0,"Token vencido",IF(H164&lt;=7,"Token vence em breve",""))))</f>
        <v/>
      </c>
      <c r="J164" s="16"/>
      <c r="K164" s="16"/>
      <c r="L164" s="21" t="str">
        <f aca="false">IF(E164="","",E164+7)</f>
        <v/>
      </c>
      <c r="M164" s="21" t="str">
        <f aca="false">IF(E164="","",E164+21)</f>
        <v/>
      </c>
      <c r="N164" s="15"/>
      <c r="O164" s="23"/>
      <c r="P164" s="15"/>
      <c r="Q164" s="15"/>
    </row>
    <row r="165" customFormat="false" ht="15" hidden="false" customHeight="false" outlineLevel="0" collapsed="false">
      <c r="A165" s="15"/>
      <c r="B165" s="15"/>
      <c r="C165" s="15"/>
      <c r="D165" s="14"/>
      <c r="E165" s="14"/>
      <c r="F165" s="21" t="str">
        <f aca="false">IF(E165="","",E165+30)</f>
        <v/>
      </c>
      <c r="G165" s="21" t="str">
        <f aca="false">IF(D165="","",D165+45)</f>
        <v/>
      </c>
      <c r="H165" s="17" t="str">
        <f aca="true">IF(G165="","",G165-TODAY())</f>
        <v/>
      </c>
      <c r="I165" s="22" t="str">
        <f aca="false">IF(H165="","",IF(OR(P165="Ganho",P165="Perdido"),IF(H165&gt;=0,"Revogar o token",""),IF(H165&lt;0,"Token vencido",IF(H165&lt;=7,"Token vence em breve",""))))</f>
        <v/>
      </c>
      <c r="J165" s="16"/>
      <c r="K165" s="16"/>
      <c r="L165" s="21" t="str">
        <f aca="false">IF(E165="","",E165+7)</f>
        <v/>
      </c>
      <c r="M165" s="21" t="str">
        <f aca="false">IF(E165="","",E165+21)</f>
        <v/>
      </c>
      <c r="N165" s="15"/>
      <c r="O165" s="23"/>
      <c r="P165" s="15"/>
      <c r="Q165" s="15"/>
    </row>
    <row r="166" customFormat="false" ht="15" hidden="false" customHeight="false" outlineLevel="0" collapsed="false">
      <c r="A166" s="15"/>
      <c r="B166" s="15"/>
      <c r="C166" s="15"/>
      <c r="D166" s="14"/>
      <c r="E166" s="14"/>
      <c r="F166" s="21" t="str">
        <f aca="false">IF(E166="","",E166+30)</f>
        <v/>
      </c>
      <c r="G166" s="21" t="str">
        <f aca="false">IF(D166="","",D166+45)</f>
        <v/>
      </c>
      <c r="H166" s="17" t="str">
        <f aca="true">IF(G166="","",G166-TODAY())</f>
        <v/>
      </c>
      <c r="I166" s="22" t="str">
        <f aca="false">IF(H166="","",IF(OR(P166="Ganho",P166="Perdido"),IF(H166&gt;=0,"Revogar o token",""),IF(H166&lt;0,"Token vencido",IF(H166&lt;=7,"Token vence em breve",""))))</f>
        <v/>
      </c>
      <c r="J166" s="16"/>
      <c r="K166" s="16"/>
      <c r="L166" s="21" t="str">
        <f aca="false">IF(E166="","",E166+7)</f>
        <v/>
      </c>
      <c r="M166" s="21" t="str">
        <f aca="false">IF(E166="","",E166+21)</f>
        <v/>
      </c>
      <c r="N166" s="15"/>
      <c r="O166" s="23"/>
      <c r="P166" s="15"/>
      <c r="Q166" s="15"/>
    </row>
    <row r="167" customFormat="false" ht="15" hidden="false" customHeight="false" outlineLevel="0" collapsed="false">
      <c r="A167" s="15"/>
      <c r="B167" s="15"/>
      <c r="C167" s="15"/>
      <c r="D167" s="14"/>
      <c r="E167" s="14"/>
      <c r="F167" s="21" t="str">
        <f aca="false">IF(E167="","",E167+30)</f>
        <v/>
      </c>
      <c r="G167" s="21" t="str">
        <f aca="false">IF(D167="","",D167+45)</f>
        <v/>
      </c>
      <c r="H167" s="17" t="str">
        <f aca="true">IF(G167="","",G167-TODAY())</f>
        <v/>
      </c>
      <c r="I167" s="22" t="str">
        <f aca="false">IF(H167="","",IF(OR(P167="Ganho",P167="Perdido"),IF(H167&gt;=0,"Revogar o token",""),IF(H167&lt;0,"Token vencido",IF(H167&lt;=7,"Token vence em breve",""))))</f>
        <v/>
      </c>
      <c r="J167" s="16"/>
      <c r="K167" s="16"/>
      <c r="L167" s="21" t="str">
        <f aca="false">IF(E167="","",E167+7)</f>
        <v/>
      </c>
      <c r="M167" s="21" t="str">
        <f aca="false">IF(E167="","",E167+21)</f>
        <v/>
      </c>
      <c r="N167" s="15"/>
      <c r="O167" s="23"/>
      <c r="P167" s="15"/>
      <c r="Q167" s="15"/>
    </row>
    <row r="168" customFormat="false" ht="15" hidden="false" customHeight="false" outlineLevel="0" collapsed="false">
      <c r="A168" s="15"/>
      <c r="B168" s="15"/>
      <c r="C168" s="15"/>
      <c r="D168" s="14"/>
      <c r="E168" s="14"/>
      <c r="F168" s="21" t="str">
        <f aca="false">IF(E168="","",E168+30)</f>
        <v/>
      </c>
      <c r="G168" s="21" t="str">
        <f aca="false">IF(D168="","",D168+45)</f>
        <v/>
      </c>
      <c r="H168" s="17" t="str">
        <f aca="true">IF(G168="","",G168-TODAY())</f>
        <v/>
      </c>
      <c r="I168" s="22" t="str">
        <f aca="false">IF(H168="","",IF(OR(P168="Ganho",P168="Perdido"),IF(H168&gt;=0,"Revogar o token",""),IF(H168&lt;0,"Token vencido",IF(H168&lt;=7,"Token vence em breve",""))))</f>
        <v/>
      </c>
      <c r="J168" s="16"/>
      <c r="K168" s="16"/>
      <c r="L168" s="21" t="str">
        <f aca="false">IF(E168="","",E168+7)</f>
        <v/>
      </c>
      <c r="M168" s="21" t="str">
        <f aca="false">IF(E168="","",E168+21)</f>
        <v/>
      </c>
      <c r="N168" s="15"/>
      <c r="O168" s="23"/>
      <c r="P168" s="15"/>
      <c r="Q168" s="15"/>
    </row>
    <row r="169" customFormat="false" ht="15" hidden="false" customHeight="false" outlineLevel="0" collapsed="false">
      <c r="A169" s="15"/>
      <c r="B169" s="15"/>
      <c r="C169" s="15"/>
      <c r="D169" s="14"/>
      <c r="E169" s="14"/>
      <c r="F169" s="21" t="str">
        <f aca="false">IF(E169="","",E169+30)</f>
        <v/>
      </c>
      <c r="G169" s="21" t="str">
        <f aca="false">IF(D169="","",D169+45)</f>
        <v/>
      </c>
      <c r="H169" s="17" t="str">
        <f aca="true">IF(G169="","",G169-TODAY())</f>
        <v/>
      </c>
      <c r="I169" s="22" t="str">
        <f aca="false">IF(H169="","",IF(OR(P169="Ganho",P169="Perdido"),IF(H169&gt;=0,"Revogar o token",""),IF(H169&lt;0,"Token vencido",IF(H169&lt;=7,"Token vence em breve",""))))</f>
        <v/>
      </c>
      <c r="J169" s="16"/>
      <c r="K169" s="16"/>
      <c r="L169" s="21" t="str">
        <f aca="false">IF(E169="","",E169+7)</f>
        <v/>
      </c>
      <c r="M169" s="21" t="str">
        <f aca="false">IF(E169="","",E169+21)</f>
        <v/>
      </c>
      <c r="N169" s="15"/>
      <c r="O169" s="23"/>
      <c r="P169" s="15"/>
      <c r="Q169" s="15"/>
    </row>
    <row r="170" customFormat="false" ht="15" hidden="false" customHeight="false" outlineLevel="0" collapsed="false">
      <c r="A170" s="15"/>
      <c r="B170" s="15"/>
      <c r="C170" s="15"/>
      <c r="D170" s="14"/>
      <c r="E170" s="14"/>
      <c r="F170" s="21" t="str">
        <f aca="false">IF(E170="","",E170+30)</f>
        <v/>
      </c>
      <c r="G170" s="21" t="str">
        <f aca="false">IF(D170="","",D170+45)</f>
        <v/>
      </c>
      <c r="H170" s="17" t="str">
        <f aca="true">IF(G170="","",G170-TODAY())</f>
        <v/>
      </c>
      <c r="I170" s="22" t="str">
        <f aca="false">IF(H170="","",IF(OR(P170="Ganho",P170="Perdido"),IF(H170&gt;=0,"Revogar o token",""),IF(H170&lt;0,"Token vencido",IF(H170&lt;=7,"Token vence em breve",""))))</f>
        <v/>
      </c>
      <c r="J170" s="16"/>
      <c r="K170" s="16"/>
      <c r="L170" s="21" t="str">
        <f aca="false">IF(E170="","",E170+7)</f>
        <v/>
      </c>
      <c r="M170" s="21" t="str">
        <f aca="false">IF(E170="","",E170+21)</f>
        <v/>
      </c>
      <c r="N170" s="15"/>
      <c r="O170" s="23"/>
      <c r="P170" s="15"/>
      <c r="Q170" s="15"/>
    </row>
    <row r="171" customFormat="false" ht="15" hidden="false" customHeight="false" outlineLevel="0" collapsed="false">
      <c r="A171" s="15"/>
      <c r="B171" s="15"/>
      <c r="C171" s="15"/>
      <c r="D171" s="14"/>
      <c r="E171" s="14"/>
      <c r="F171" s="21" t="str">
        <f aca="false">IF(E171="","",E171+30)</f>
        <v/>
      </c>
      <c r="G171" s="21" t="str">
        <f aca="false">IF(D171="","",D171+45)</f>
        <v/>
      </c>
      <c r="H171" s="17" t="str">
        <f aca="true">IF(G171="","",G171-TODAY())</f>
        <v/>
      </c>
      <c r="I171" s="22" t="str">
        <f aca="false">IF(H171="","",IF(OR(P171="Ganho",P171="Perdido"),IF(H171&gt;=0,"Revogar o token",""),IF(H171&lt;0,"Token vencido",IF(H171&lt;=7,"Token vence em breve",""))))</f>
        <v/>
      </c>
      <c r="J171" s="16"/>
      <c r="K171" s="16"/>
      <c r="L171" s="21" t="str">
        <f aca="false">IF(E171="","",E171+7)</f>
        <v/>
      </c>
      <c r="M171" s="21" t="str">
        <f aca="false">IF(E171="","",E171+21)</f>
        <v/>
      </c>
      <c r="N171" s="15"/>
      <c r="O171" s="23"/>
      <c r="P171" s="15"/>
      <c r="Q171" s="15"/>
    </row>
    <row r="172" customFormat="false" ht="15" hidden="false" customHeight="false" outlineLevel="0" collapsed="false">
      <c r="A172" s="15"/>
      <c r="B172" s="15"/>
      <c r="C172" s="15"/>
      <c r="D172" s="14"/>
      <c r="E172" s="14"/>
      <c r="F172" s="21" t="str">
        <f aca="false">IF(E172="","",E172+30)</f>
        <v/>
      </c>
      <c r="G172" s="21" t="str">
        <f aca="false">IF(D172="","",D172+45)</f>
        <v/>
      </c>
      <c r="H172" s="17" t="str">
        <f aca="true">IF(G172="","",G172-TODAY())</f>
        <v/>
      </c>
      <c r="I172" s="22" t="str">
        <f aca="false">IF(H172="","",IF(OR(P172="Ganho",P172="Perdido"),IF(H172&gt;=0,"Revogar o token",""),IF(H172&lt;0,"Token vencido",IF(H172&lt;=7,"Token vence em breve",""))))</f>
        <v/>
      </c>
      <c r="J172" s="16"/>
      <c r="K172" s="16"/>
      <c r="L172" s="21" t="str">
        <f aca="false">IF(E172="","",E172+7)</f>
        <v/>
      </c>
      <c r="M172" s="21" t="str">
        <f aca="false">IF(E172="","",E172+21)</f>
        <v/>
      </c>
      <c r="N172" s="15"/>
      <c r="O172" s="23"/>
      <c r="P172" s="15"/>
      <c r="Q172" s="15"/>
    </row>
    <row r="173" customFormat="false" ht="15" hidden="false" customHeight="false" outlineLevel="0" collapsed="false">
      <c r="A173" s="15"/>
      <c r="B173" s="15"/>
      <c r="C173" s="15"/>
      <c r="D173" s="14"/>
      <c r="E173" s="14"/>
      <c r="F173" s="21" t="str">
        <f aca="false">IF(E173="","",E173+30)</f>
        <v/>
      </c>
      <c r="G173" s="21" t="str">
        <f aca="false">IF(D173="","",D173+45)</f>
        <v/>
      </c>
      <c r="H173" s="17" t="str">
        <f aca="true">IF(G173="","",G173-TODAY())</f>
        <v/>
      </c>
      <c r="I173" s="22" t="str">
        <f aca="false">IF(H173="","",IF(OR(P173="Ganho",P173="Perdido"),IF(H173&gt;=0,"Revogar o token",""),IF(H173&lt;0,"Token vencido",IF(H173&lt;=7,"Token vence em breve",""))))</f>
        <v/>
      </c>
      <c r="J173" s="16"/>
      <c r="K173" s="16"/>
      <c r="L173" s="21" t="str">
        <f aca="false">IF(E173="","",E173+7)</f>
        <v/>
      </c>
      <c r="M173" s="21" t="str">
        <f aca="false">IF(E173="","",E173+21)</f>
        <v/>
      </c>
      <c r="N173" s="15"/>
      <c r="O173" s="23"/>
      <c r="P173" s="15"/>
      <c r="Q173" s="15"/>
    </row>
    <row r="174" customFormat="false" ht="15" hidden="false" customHeight="false" outlineLevel="0" collapsed="false">
      <c r="A174" s="15"/>
      <c r="B174" s="15"/>
      <c r="C174" s="15"/>
      <c r="D174" s="14"/>
      <c r="E174" s="14"/>
      <c r="F174" s="21" t="str">
        <f aca="false">IF(E174="","",E174+30)</f>
        <v/>
      </c>
      <c r="G174" s="21" t="str">
        <f aca="false">IF(D174="","",D174+45)</f>
        <v/>
      </c>
      <c r="H174" s="17" t="str">
        <f aca="true">IF(G174="","",G174-TODAY())</f>
        <v/>
      </c>
      <c r="I174" s="22" t="str">
        <f aca="false">IF(H174="","",IF(OR(P174="Ganho",P174="Perdido"),IF(H174&gt;=0,"Revogar o token",""),IF(H174&lt;0,"Token vencido",IF(H174&lt;=7,"Token vence em breve",""))))</f>
        <v/>
      </c>
      <c r="J174" s="16"/>
      <c r="K174" s="16"/>
      <c r="L174" s="21" t="str">
        <f aca="false">IF(E174="","",E174+7)</f>
        <v/>
      </c>
      <c r="M174" s="21" t="str">
        <f aca="false">IF(E174="","",E174+21)</f>
        <v/>
      </c>
      <c r="N174" s="15"/>
      <c r="O174" s="23"/>
      <c r="P174" s="15"/>
      <c r="Q174" s="15"/>
    </row>
    <row r="175" customFormat="false" ht="15" hidden="false" customHeight="false" outlineLevel="0" collapsed="false">
      <c r="A175" s="15"/>
      <c r="B175" s="15"/>
      <c r="C175" s="15"/>
      <c r="D175" s="14"/>
      <c r="E175" s="14"/>
      <c r="F175" s="21" t="str">
        <f aca="false">IF(E175="","",E175+30)</f>
        <v/>
      </c>
      <c r="G175" s="21" t="str">
        <f aca="false">IF(D175="","",D175+45)</f>
        <v/>
      </c>
      <c r="H175" s="17" t="str">
        <f aca="true">IF(G175="","",G175-TODAY())</f>
        <v/>
      </c>
      <c r="I175" s="22" t="str">
        <f aca="false">IF(H175="","",IF(OR(P175="Ganho",P175="Perdido"),IF(H175&gt;=0,"Revogar o token",""),IF(H175&lt;0,"Token vencido",IF(H175&lt;=7,"Token vence em breve",""))))</f>
        <v/>
      </c>
      <c r="J175" s="16"/>
      <c r="K175" s="16"/>
      <c r="L175" s="21" t="str">
        <f aca="false">IF(E175="","",E175+7)</f>
        <v/>
      </c>
      <c r="M175" s="21" t="str">
        <f aca="false">IF(E175="","",E175+21)</f>
        <v/>
      </c>
      <c r="N175" s="15"/>
      <c r="O175" s="23"/>
      <c r="P175" s="15"/>
      <c r="Q175" s="15"/>
    </row>
    <row r="176" customFormat="false" ht="15" hidden="false" customHeight="false" outlineLevel="0" collapsed="false">
      <c r="A176" s="15"/>
      <c r="B176" s="15"/>
      <c r="C176" s="15"/>
      <c r="D176" s="14"/>
      <c r="E176" s="14"/>
      <c r="F176" s="21" t="str">
        <f aca="false">IF(E176="","",E176+30)</f>
        <v/>
      </c>
      <c r="G176" s="21" t="str">
        <f aca="false">IF(D176="","",D176+45)</f>
        <v/>
      </c>
      <c r="H176" s="17" t="str">
        <f aca="true">IF(G176="","",G176-TODAY())</f>
        <v/>
      </c>
      <c r="I176" s="22" t="str">
        <f aca="false">IF(H176="","",IF(OR(P176="Ganho",P176="Perdido"),IF(H176&gt;=0,"Revogar o token",""),IF(H176&lt;0,"Token vencido",IF(H176&lt;=7,"Token vence em breve",""))))</f>
        <v/>
      </c>
      <c r="J176" s="16"/>
      <c r="K176" s="16"/>
      <c r="L176" s="21" t="str">
        <f aca="false">IF(E176="","",E176+7)</f>
        <v/>
      </c>
      <c r="M176" s="21" t="str">
        <f aca="false">IF(E176="","",E176+21)</f>
        <v/>
      </c>
      <c r="N176" s="15"/>
      <c r="O176" s="23"/>
      <c r="P176" s="15"/>
      <c r="Q176" s="15"/>
    </row>
    <row r="177" customFormat="false" ht="15" hidden="false" customHeight="false" outlineLevel="0" collapsed="false">
      <c r="A177" s="15"/>
      <c r="B177" s="15"/>
      <c r="C177" s="15"/>
      <c r="D177" s="14"/>
      <c r="E177" s="14"/>
      <c r="F177" s="21" t="str">
        <f aca="false">IF(E177="","",E177+30)</f>
        <v/>
      </c>
      <c r="G177" s="21" t="str">
        <f aca="false">IF(D177="","",D177+45)</f>
        <v/>
      </c>
      <c r="H177" s="17" t="str">
        <f aca="true">IF(G177="","",G177-TODAY())</f>
        <v/>
      </c>
      <c r="I177" s="22" t="str">
        <f aca="false">IF(H177="","",IF(OR(P177="Ganho",P177="Perdido"),IF(H177&gt;=0,"Revogar o token",""),IF(H177&lt;0,"Token vencido",IF(H177&lt;=7,"Token vence em breve",""))))</f>
        <v/>
      </c>
      <c r="J177" s="16"/>
      <c r="K177" s="16"/>
      <c r="L177" s="21" t="str">
        <f aca="false">IF(E177="","",E177+7)</f>
        <v/>
      </c>
      <c r="M177" s="21" t="str">
        <f aca="false">IF(E177="","",E177+21)</f>
        <v/>
      </c>
      <c r="N177" s="15"/>
      <c r="O177" s="23"/>
      <c r="P177" s="15"/>
      <c r="Q177" s="15"/>
    </row>
    <row r="178" customFormat="false" ht="15" hidden="false" customHeight="false" outlineLevel="0" collapsed="false">
      <c r="A178" s="15"/>
      <c r="B178" s="15"/>
      <c r="C178" s="15"/>
      <c r="D178" s="14"/>
      <c r="E178" s="14"/>
      <c r="F178" s="21" t="str">
        <f aca="false">IF(E178="","",E178+30)</f>
        <v/>
      </c>
      <c r="G178" s="21" t="str">
        <f aca="false">IF(D178="","",D178+45)</f>
        <v/>
      </c>
      <c r="H178" s="17" t="str">
        <f aca="true">IF(G178="","",G178-TODAY())</f>
        <v/>
      </c>
      <c r="I178" s="22" t="str">
        <f aca="false">IF(H178="","",IF(OR(P178="Ganho",P178="Perdido"),IF(H178&gt;=0,"Revogar o token",""),IF(H178&lt;0,"Token vencido",IF(H178&lt;=7,"Token vence em breve",""))))</f>
        <v/>
      </c>
      <c r="J178" s="16"/>
      <c r="K178" s="16"/>
      <c r="L178" s="21" t="str">
        <f aca="false">IF(E178="","",E178+7)</f>
        <v/>
      </c>
      <c r="M178" s="21" t="str">
        <f aca="false">IF(E178="","",E178+21)</f>
        <v/>
      </c>
      <c r="N178" s="15"/>
      <c r="O178" s="23"/>
      <c r="P178" s="15"/>
      <c r="Q178" s="15"/>
    </row>
    <row r="179" customFormat="false" ht="15" hidden="false" customHeight="false" outlineLevel="0" collapsed="false">
      <c r="A179" s="15"/>
      <c r="B179" s="15"/>
      <c r="C179" s="15"/>
      <c r="D179" s="14"/>
      <c r="E179" s="14"/>
      <c r="F179" s="21" t="str">
        <f aca="false">IF(E179="","",E179+30)</f>
        <v/>
      </c>
      <c r="G179" s="21" t="str">
        <f aca="false">IF(D179="","",D179+45)</f>
        <v/>
      </c>
      <c r="H179" s="17" t="str">
        <f aca="true">IF(G179="","",G179-TODAY())</f>
        <v/>
      </c>
      <c r="I179" s="22" t="str">
        <f aca="false">IF(H179="","",IF(OR(P179="Ganho",P179="Perdido"),IF(H179&gt;=0,"Revogar o token",""),IF(H179&lt;0,"Token vencido",IF(H179&lt;=7,"Token vence em breve",""))))</f>
        <v/>
      </c>
      <c r="J179" s="16"/>
      <c r="K179" s="16"/>
      <c r="L179" s="21" t="str">
        <f aca="false">IF(E179="","",E179+7)</f>
        <v/>
      </c>
      <c r="M179" s="21" t="str">
        <f aca="false">IF(E179="","",E179+21)</f>
        <v/>
      </c>
      <c r="N179" s="15"/>
      <c r="O179" s="23"/>
      <c r="P179" s="15"/>
      <c r="Q179" s="15"/>
    </row>
    <row r="180" customFormat="false" ht="15" hidden="false" customHeight="false" outlineLevel="0" collapsed="false">
      <c r="A180" s="15"/>
      <c r="B180" s="15"/>
      <c r="C180" s="15"/>
      <c r="D180" s="14"/>
      <c r="E180" s="14"/>
      <c r="F180" s="21" t="str">
        <f aca="false">IF(E180="","",E180+30)</f>
        <v/>
      </c>
      <c r="G180" s="21" t="str">
        <f aca="false">IF(D180="","",D180+45)</f>
        <v/>
      </c>
      <c r="H180" s="17" t="str">
        <f aca="true">IF(G180="","",G180-TODAY())</f>
        <v/>
      </c>
      <c r="I180" s="22" t="str">
        <f aca="false">IF(H180="","",IF(OR(P180="Ganho",P180="Perdido"),IF(H180&gt;=0,"Revogar o token",""),IF(H180&lt;0,"Token vencido",IF(H180&lt;=7,"Token vence em breve",""))))</f>
        <v/>
      </c>
      <c r="J180" s="16"/>
      <c r="K180" s="16"/>
      <c r="L180" s="21" t="str">
        <f aca="false">IF(E180="","",E180+7)</f>
        <v/>
      </c>
      <c r="M180" s="21" t="str">
        <f aca="false">IF(E180="","",E180+21)</f>
        <v/>
      </c>
      <c r="N180" s="15"/>
      <c r="O180" s="23"/>
      <c r="P180" s="15"/>
      <c r="Q180" s="15"/>
    </row>
    <row r="181" customFormat="false" ht="15" hidden="false" customHeight="false" outlineLevel="0" collapsed="false">
      <c r="A181" s="15"/>
      <c r="B181" s="15"/>
      <c r="C181" s="15"/>
      <c r="D181" s="14"/>
      <c r="E181" s="14"/>
      <c r="F181" s="21" t="str">
        <f aca="false">IF(E181="","",E181+30)</f>
        <v/>
      </c>
      <c r="G181" s="21" t="str">
        <f aca="false">IF(D181="","",D181+45)</f>
        <v/>
      </c>
      <c r="H181" s="17" t="str">
        <f aca="true">IF(G181="","",G181-TODAY())</f>
        <v/>
      </c>
      <c r="I181" s="22" t="str">
        <f aca="false">IF(H181="","",IF(OR(P181="Ganho",P181="Perdido"),IF(H181&gt;=0,"Revogar o token",""),IF(H181&lt;0,"Token vencido",IF(H181&lt;=7,"Token vence em breve",""))))</f>
        <v/>
      </c>
      <c r="J181" s="16"/>
      <c r="K181" s="16"/>
      <c r="L181" s="21" t="str">
        <f aca="false">IF(E181="","",E181+7)</f>
        <v/>
      </c>
      <c r="M181" s="21" t="str">
        <f aca="false">IF(E181="","",E181+21)</f>
        <v/>
      </c>
      <c r="N181" s="15"/>
      <c r="O181" s="23"/>
      <c r="P181" s="15"/>
      <c r="Q181" s="15"/>
    </row>
    <row r="182" customFormat="false" ht="15" hidden="false" customHeight="false" outlineLevel="0" collapsed="false">
      <c r="A182" s="15"/>
      <c r="B182" s="15"/>
      <c r="C182" s="15"/>
      <c r="D182" s="14"/>
      <c r="E182" s="14"/>
      <c r="F182" s="21" t="str">
        <f aca="false">IF(E182="","",E182+30)</f>
        <v/>
      </c>
      <c r="G182" s="21" t="str">
        <f aca="false">IF(D182="","",D182+45)</f>
        <v/>
      </c>
      <c r="H182" s="17" t="str">
        <f aca="true">IF(G182="","",G182-TODAY())</f>
        <v/>
      </c>
      <c r="I182" s="22" t="str">
        <f aca="false">IF(H182="","",IF(OR(P182="Ganho",P182="Perdido"),IF(H182&gt;=0,"Revogar o token",""),IF(H182&lt;0,"Token vencido",IF(H182&lt;=7,"Token vence em breve",""))))</f>
        <v/>
      </c>
      <c r="J182" s="16"/>
      <c r="K182" s="16"/>
      <c r="L182" s="21" t="str">
        <f aca="false">IF(E182="","",E182+7)</f>
        <v/>
      </c>
      <c r="M182" s="21" t="str">
        <f aca="false">IF(E182="","",E182+21)</f>
        <v/>
      </c>
      <c r="N182" s="15"/>
      <c r="O182" s="23"/>
      <c r="P182" s="15"/>
      <c r="Q182" s="15"/>
    </row>
    <row r="183" customFormat="false" ht="15" hidden="false" customHeight="false" outlineLevel="0" collapsed="false">
      <c r="A183" s="15"/>
      <c r="B183" s="15"/>
      <c r="C183" s="15"/>
      <c r="D183" s="14"/>
      <c r="E183" s="14"/>
      <c r="F183" s="21" t="str">
        <f aca="false">IF(E183="","",E183+30)</f>
        <v/>
      </c>
      <c r="G183" s="21" t="str">
        <f aca="false">IF(D183="","",D183+45)</f>
        <v/>
      </c>
      <c r="H183" s="17" t="str">
        <f aca="true">IF(G183="","",G183-TODAY())</f>
        <v/>
      </c>
      <c r="I183" s="22" t="str">
        <f aca="false">IF(H183="","",IF(OR(P183="Ganho",P183="Perdido"),IF(H183&gt;=0,"Revogar o token",""),IF(H183&lt;0,"Token vencido",IF(H183&lt;=7,"Token vence em breve",""))))</f>
        <v/>
      </c>
      <c r="J183" s="16"/>
      <c r="K183" s="16"/>
      <c r="L183" s="21" t="str">
        <f aca="false">IF(E183="","",E183+7)</f>
        <v/>
      </c>
      <c r="M183" s="21" t="str">
        <f aca="false">IF(E183="","",E183+21)</f>
        <v/>
      </c>
      <c r="N183" s="15"/>
      <c r="O183" s="23"/>
      <c r="P183" s="15"/>
      <c r="Q183" s="15"/>
    </row>
    <row r="184" customFormat="false" ht="15" hidden="false" customHeight="false" outlineLevel="0" collapsed="false">
      <c r="A184" s="15"/>
      <c r="B184" s="15"/>
      <c r="C184" s="15"/>
      <c r="D184" s="14"/>
      <c r="E184" s="14"/>
      <c r="F184" s="21" t="str">
        <f aca="false">IF(E184="","",E184+30)</f>
        <v/>
      </c>
      <c r="G184" s="21" t="str">
        <f aca="false">IF(D184="","",D184+45)</f>
        <v/>
      </c>
      <c r="H184" s="17" t="str">
        <f aca="true">IF(G184="","",G184-TODAY())</f>
        <v/>
      </c>
      <c r="I184" s="22" t="str">
        <f aca="false">IF(H184="","",IF(OR(P184="Ganho",P184="Perdido"),IF(H184&gt;=0,"Revogar o token",""),IF(H184&lt;0,"Token vencido",IF(H184&lt;=7,"Token vence em breve",""))))</f>
        <v/>
      </c>
      <c r="J184" s="16"/>
      <c r="K184" s="16"/>
      <c r="L184" s="21" t="str">
        <f aca="false">IF(E184="","",E184+7)</f>
        <v/>
      </c>
      <c r="M184" s="21" t="str">
        <f aca="false">IF(E184="","",E184+21)</f>
        <v/>
      </c>
      <c r="N184" s="15"/>
      <c r="O184" s="23"/>
      <c r="P184" s="15"/>
      <c r="Q184" s="15"/>
    </row>
    <row r="185" customFormat="false" ht="15" hidden="false" customHeight="false" outlineLevel="0" collapsed="false">
      <c r="A185" s="15"/>
      <c r="B185" s="15"/>
      <c r="C185" s="15"/>
      <c r="D185" s="14"/>
      <c r="E185" s="14"/>
      <c r="F185" s="21" t="str">
        <f aca="false">IF(E185="","",E185+30)</f>
        <v/>
      </c>
      <c r="G185" s="21" t="str">
        <f aca="false">IF(D185="","",D185+45)</f>
        <v/>
      </c>
      <c r="H185" s="17" t="str">
        <f aca="true">IF(G185="","",G185-TODAY())</f>
        <v/>
      </c>
      <c r="I185" s="22" t="str">
        <f aca="false">IF(H185="","",IF(OR(P185="Ganho",P185="Perdido"),IF(H185&gt;=0,"Revogar o token",""),IF(H185&lt;0,"Token vencido",IF(H185&lt;=7,"Token vence em breve",""))))</f>
        <v/>
      </c>
      <c r="J185" s="16"/>
      <c r="K185" s="16"/>
      <c r="L185" s="21" t="str">
        <f aca="false">IF(E185="","",E185+7)</f>
        <v/>
      </c>
      <c r="M185" s="21" t="str">
        <f aca="false">IF(E185="","",E185+21)</f>
        <v/>
      </c>
      <c r="N185" s="15"/>
      <c r="O185" s="23"/>
      <c r="P185" s="15"/>
      <c r="Q185" s="15"/>
    </row>
    <row r="186" customFormat="false" ht="15" hidden="false" customHeight="false" outlineLevel="0" collapsed="false">
      <c r="A186" s="15"/>
      <c r="B186" s="15"/>
      <c r="C186" s="15"/>
      <c r="D186" s="14"/>
      <c r="E186" s="14"/>
      <c r="F186" s="21" t="str">
        <f aca="false">IF(E186="","",E186+30)</f>
        <v/>
      </c>
      <c r="G186" s="21" t="str">
        <f aca="false">IF(D186="","",D186+45)</f>
        <v/>
      </c>
      <c r="H186" s="17" t="str">
        <f aca="true">IF(G186="","",G186-TODAY())</f>
        <v/>
      </c>
      <c r="I186" s="22" t="str">
        <f aca="false">IF(H186="","",IF(OR(P186="Ganho",P186="Perdido"),IF(H186&gt;=0,"Revogar o token",""),IF(H186&lt;0,"Token vencido",IF(H186&lt;=7,"Token vence em breve",""))))</f>
        <v/>
      </c>
      <c r="J186" s="16"/>
      <c r="K186" s="16"/>
      <c r="L186" s="21" t="str">
        <f aca="false">IF(E186="","",E186+7)</f>
        <v/>
      </c>
      <c r="M186" s="21" t="str">
        <f aca="false">IF(E186="","",E186+21)</f>
        <v/>
      </c>
      <c r="N186" s="15"/>
      <c r="O186" s="23"/>
      <c r="P186" s="15"/>
      <c r="Q186" s="15"/>
    </row>
    <row r="187" customFormat="false" ht="15" hidden="false" customHeight="false" outlineLevel="0" collapsed="false">
      <c r="A187" s="15"/>
      <c r="B187" s="15"/>
      <c r="C187" s="15"/>
      <c r="D187" s="14"/>
      <c r="E187" s="14"/>
      <c r="F187" s="21" t="str">
        <f aca="false">IF(E187="","",E187+30)</f>
        <v/>
      </c>
      <c r="G187" s="21" t="str">
        <f aca="false">IF(D187="","",D187+45)</f>
        <v/>
      </c>
      <c r="H187" s="17" t="str">
        <f aca="true">IF(G187="","",G187-TODAY())</f>
        <v/>
      </c>
      <c r="I187" s="22" t="str">
        <f aca="false">IF(H187="","",IF(OR(P187="Ganho",P187="Perdido"),IF(H187&gt;=0,"Revogar o token",""),IF(H187&lt;0,"Token vencido",IF(H187&lt;=7,"Token vence em breve",""))))</f>
        <v/>
      </c>
      <c r="J187" s="16"/>
      <c r="K187" s="16"/>
      <c r="L187" s="21" t="str">
        <f aca="false">IF(E187="","",E187+7)</f>
        <v/>
      </c>
      <c r="M187" s="21" t="str">
        <f aca="false">IF(E187="","",E187+21)</f>
        <v/>
      </c>
      <c r="N187" s="15"/>
      <c r="O187" s="23"/>
      <c r="P187" s="15"/>
      <c r="Q187" s="15"/>
    </row>
    <row r="188" customFormat="false" ht="15" hidden="false" customHeight="false" outlineLevel="0" collapsed="false">
      <c r="A188" s="15"/>
      <c r="B188" s="15"/>
      <c r="C188" s="15"/>
      <c r="D188" s="14"/>
      <c r="E188" s="14"/>
      <c r="F188" s="21" t="str">
        <f aca="false">IF(E188="","",E188+30)</f>
        <v/>
      </c>
      <c r="G188" s="21" t="str">
        <f aca="false">IF(D188="","",D188+45)</f>
        <v/>
      </c>
      <c r="H188" s="17" t="str">
        <f aca="true">IF(G188="","",G188-TODAY())</f>
        <v/>
      </c>
      <c r="I188" s="22" t="str">
        <f aca="false">IF(H188="","",IF(OR(P188="Ganho",P188="Perdido"),IF(H188&gt;=0,"Revogar o token",""),IF(H188&lt;0,"Token vencido",IF(H188&lt;=7,"Token vence em breve",""))))</f>
        <v/>
      </c>
      <c r="J188" s="16"/>
      <c r="K188" s="16"/>
      <c r="L188" s="21" t="str">
        <f aca="false">IF(E188="","",E188+7)</f>
        <v/>
      </c>
      <c r="M188" s="21" t="str">
        <f aca="false">IF(E188="","",E188+21)</f>
        <v/>
      </c>
      <c r="N188" s="15"/>
      <c r="O188" s="23"/>
      <c r="P188" s="15"/>
      <c r="Q188" s="15"/>
    </row>
    <row r="189" customFormat="false" ht="15" hidden="false" customHeight="false" outlineLevel="0" collapsed="false">
      <c r="A189" s="15"/>
      <c r="B189" s="15"/>
      <c r="C189" s="15"/>
      <c r="D189" s="14"/>
      <c r="E189" s="14"/>
      <c r="F189" s="21" t="str">
        <f aca="false">IF(E189="","",E189+30)</f>
        <v/>
      </c>
      <c r="G189" s="21" t="str">
        <f aca="false">IF(D189="","",D189+45)</f>
        <v/>
      </c>
      <c r="H189" s="17" t="str">
        <f aca="true">IF(G189="","",G189-TODAY())</f>
        <v/>
      </c>
      <c r="I189" s="22" t="str">
        <f aca="false">IF(H189="","",IF(OR(P189="Ganho",P189="Perdido"),IF(H189&gt;=0,"Revogar o token",""),IF(H189&lt;0,"Token vencido",IF(H189&lt;=7,"Token vence em breve",""))))</f>
        <v/>
      </c>
      <c r="J189" s="16"/>
      <c r="K189" s="16"/>
      <c r="L189" s="21" t="str">
        <f aca="false">IF(E189="","",E189+7)</f>
        <v/>
      </c>
      <c r="M189" s="21" t="str">
        <f aca="false">IF(E189="","",E189+21)</f>
        <v/>
      </c>
      <c r="N189" s="15"/>
      <c r="O189" s="23"/>
      <c r="P189" s="15"/>
      <c r="Q189" s="15"/>
    </row>
    <row r="190" customFormat="false" ht="15" hidden="false" customHeight="false" outlineLevel="0" collapsed="false">
      <c r="A190" s="15"/>
      <c r="B190" s="15"/>
      <c r="C190" s="15"/>
      <c r="D190" s="14"/>
      <c r="E190" s="14"/>
      <c r="F190" s="21" t="str">
        <f aca="false">IF(E190="","",E190+30)</f>
        <v/>
      </c>
      <c r="G190" s="21" t="str">
        <f aca="false">IF(D190="","",D190+45)</f>
        <v/>
      </c>
      <c r="H190" s="17" t="str">
        <f aca="true">IF(G190="","",G190-TODAY())</f>
        <v/>
      </c>
      <c r="I190" s="22" t="str">
        <f aca="false">IF(H190="","",IF(OR(P190="Ganho",P190="Perdido"),IF(H190&gt;=0,"Revogar o token",""),IF(H190&lt;0,"Token vencido",IF(H190&lt;=7,"Token vence em breve",""))))</f>
        <v/>
      </c>
      <c r="J190" s="16"/>
      <c r="K190" s="16"/>
      <c r="L190" s="21" t="str">
        <f aca="false">IF(E190="","",E190+7)</f>
        <v/>
      </c>
      <c r="M190" s="21" t="str">
        <f aca="false">IF(E190="","",E190+21)</f>
        <v/>
      </c>
      <c r="N190" s="15"/>
      <c r="O190" s="23"/>
      <c r="P190" s="15"/>
      <c r="Q190" s="15"/>
    </row>
    <row r="191" customFormat="false" ht="15" hidden="false" customHeight="false" outlineLevel="0" collapsed="false">
      <c r="A191" s="15"/>
      <c r="B191" s="15"/>
      <c r="C191" s="15"/>
      <c r="D191" s="14"/>
      <c r="E191" s="14"/>
      <c r="F191" s="21" t="str">
        <f aca="false">IF(E191="","",E191+30)</f>
        <v/>
      </c>
      <c r="G191" s="21" t="str">
        <f aca="false">IF(D191="","",D191+45)</f>
        <v/>
      </c>
      <c r="H191" s="17" t="str">
        <f aca="true">IF(G191="","",G191-TODAY())</f>
        <v/>
      </c>
      <c r="I191" s="22" t="str">
        <f aca="false">IF(H191="","",IF(OR(P191="Ganho",P191="Perdido"),IF(H191&gt;=0,"Revogar o token",""),IF(H191&lt;0,"Token vencido",IF(H191&lt;=7,"Token vence em breve",""))))</f>
        <v/>
      </c>
      <c r="J191" s="16"/>
      <c r="K191" s="16"/>
      <c r="L191" s="21" t="str">
        <f aca="false">IF(E191="","",E191+7)</f>
        <v/>
      </c>
      <c r="M191" s="21" t="str">
        <f aca="false">IF(E191="","",E191+21)</f>
        <v/>
      </c>
      <c r="N191" s="15"/>
      <c r="O191" s="23"/>
      <c r="P191" s="15"/>
      <c r="Q191" s="15"/>
    </row>
    <row r="192" customFormat="false" ht="15" hidden="false" customHeight="false" outlineLevel="0" collapsed="false">
      <c r="A192" s="15"/>
      <c r="B192" s="15"/>
      <c r="C192" s="15"/>
      <c r="D192" s="14"/>
      <c r="E192" s="14"/>
      <c r="F192" s="21" t="str">
        <f aca="false">IF(E192="","",E192+30)</f>
        <v/>
      </c>
      <c r="G192" s="21" t="str">
        <f aca="false">IF(D192="","",D192+45)</f>
        <v/>
      </c>
      <c r="H192" s="17" t="str">
        <f aca="true">IF(G192="","",G192-TODAY())</f>
        <v/>
      </c>
      <c r="I192" s="22" t="str">
        <f aca="false">IF(H192="","",IF(OR(P192="Ganho",P192="Perdido"),IF(H192&gt;=0,"Revogar o token",""),IF(H192&lt;0,"Token vencido",IF(H192&lt;=7,"Token vence em breve",""))))</f>
        <v/>
      </c>
      <c r="J192" s="16"/>
      <c r="K192" s="16"/>
      <c r="L192" s="21" t="str">
        <f aca="false">IF(E192="","",E192+7)</f>
        <v/>
      </c>
      <c r="M192" s="21" t="str">
        <f aca="false">IF(E192="","",E192+21)</f>
        <v/>
      </c>
      <c r="N192" s="15"/>
      <c r="O192" s="23"/>
      <c r="P192" s="15"/>
      <c r="Q192" s="15"/>
    </row>
    <row r="193" customFormat="false" ht="15" hidden="false" customHeight="false" outlineLevel="0" collapsed="false">
      <c r="A193" s="15"/>
      <c r="B193" s="15"/>
      <c r="C193" s="15"/>
      <c r="D193" s="14"/>
      <c r="E193" s="14"/>
      <c r="F193" s="21" t="str">
        <f aca="false">IF(E193="","",E193+30)</f>
        <v/>
      </c>
      <c r="G193" s="21" t="str">
        <f aca="false">IF(D193="","",D193+45)</f>
        <v/>
      </c>
      <c r="H193" s="17" t="str">
        <f aca="true">IF(G193="","",G193-TODAY())</f>
        <v/>
      </c>
      <c r="I193" s="22" t="str">
        <f aca="false">IF(H193="","",IF(OR(P193="Ganho",P193="Perdido"),IF(H193&gt;=0,"Revogar o token",""),IF(H193&lt;0,"Token vencido",IF(H193&lt;=7,"Token vence em breve",""))))</f>
        <v/>
      </c>
      <c r="J193" s="16"/>
      <c r="K193" s="16"/>
      <c r="L193" s="21" t="str">
        <f aca="false">IF(E193="","",E193+7)</f>
        <v/>
      </c>
      <c r="M193" s="21" t="str">
        <f aca="false">IF(E193="","",E193+21)</f>
        <v/>
      </c>
      <c r="N193" s="15"/>
      <c r="O193" s="23"/>
      <c r="P193" s="15"/>
      <c r="Q193" s="15"/>
    </row>
    <row r="194" customFormat="false" ht="15" hidden="false" customHeight="false" outlineLevel="0" collapsed="false">
      <c r="A194" s="15"/>
      <c r="B194" s="15"/>
      <c r="C194" s="15"/>
      <c r="D194" s="14"/>
      <c r="E194" s="14"/>
      <c r="F194" s="21" t="str">
        <f aca="false">IF(E194="","",E194+30)</f>
        <v/>
      </c>
      <c r="G194" s="21" t="str">
        <f aca="false">IF(D194="","",D194+45)</f>
        <v/>
      </c>
      <c r="H194" s="17" t="str">
        <f aca="true">IF(G194="","",G194-TODAY())</f>
        <v/>
      </c>
      <c r="I194" s="22" t="str">
        <f aca="false">IF(H194="","",IF(OR(P194="Ganho",P194="Perdido"),IF(H194&gt;=0,"Revogar o token",""),IF(H194&lt;0,"Token vencido",IF(H194&lt;=7,"Token vence em breve",""))))</f>
        <v/>
      </c>
      <c r="J194" s="16"/>
      <c r="K194" s="16"/>
      <c r="L194" s="21" t="str">
        <f aca="false">IF(E194="","",E194+7)</f>
        <v/>
      </c>
      <c r="M194" s="21" t="str">
        <f aca="false">IF(E194="","",E194+21)</f>
        <v/>
      </c>
      <c r="N194" s="15"/>
      <c r="O194" s="23"/>
      <c r="P194" s="15"/>
      <c r="Q194" s="15"/>
    </row>
    <row r="195" customFormat="false" ht="15" hidden="false" customHeight="false" outlineLevel="0" collapsed="false">
      <c r="A195" s="15"/>
      <c r="B195" s="15"/>
      <c r="C195" s="15"/>
      <c r="D195" s="14"/>
      <c r="E195" s="14"/>
      <c r="F195" s="21" t="str">
        <f aca="false">IF(E195="","",E195+30)</f>
        <v/>
      </c>
      <c r="G195" s="21" t="str">
        <f aca="false">IF(D195="","",D195+45)</f>
        <v/>
      </c>
      <c r="H195" s="17" t="str">
        <f aca="true">IF(G195="","",G195-TODAY())</f>
        <v/>
      </c>
      <c r="I195" s="22" t="str">
        <f aca="false">IF(H195="","",IF(OR(P195="Ganho",P195="Perdido"),IF(H195&gt;=0,"Revogar o token",""),IF(H195&lt;0,"Token vencido",IF(H195&lt;=7,"Token vence em breve",""))))</f>
        <v/>
      </c>
      <c r="J195" s="16"/>
      <c r="K195" s="16"/>
      <c r="L195" s="21" t="str">
        <f aca="false">IF(E195="","",E195+7)</f>
        <v/>
      </c>
      <c r="M195" s="21" t="str">
        <f aca="false">IF(E195="","",E195+21)</f>
        <v/>
      </c>
      <c r="N195" s="15"/>
      <c r="O195" s="23"/>
      <c r="P195" s="15"/>
      <c r="Q195" s="15"/>
    </row>
    <row r="196" customFormat="false" ht="15" hidden="false" customHeight="false" outlineLevel="0" collapsed="false">
      <c r="A196" s="15"/>
      <c r="B196" s="15"/>
      <c r="C196" s="15"/>
      <c r="D196" s="14"/>
      <c r="E196" s="14"/>
      <c r="F196" s="21" t="str">
        <f aca="false">IF(E196="","",E196+30)</f>
        <v/>
      </c>
      <c r="G196" s="21" t="str">
        <f aca="false">IF(D196="","",D196+45)</f>
        <v/>
      </c>
      <c r="H196" s="17" t="str">
        <f aca="true">IF(G196="","",G196-TODAY())</f>
        <v/>
      </c>
      <c r="I196" s="22" t="str">
        <f aca="false">IF(H196="","",IF(OR(P196="Ganho",P196="Perdido"),IF(H196&gt;=0,"Revogar o token",""),IF(H196&lt;0,"Token vencido",IF(H196&lt;=7,"Token vence em breve",""))))</f>
        <v/>
      </c>
      <c r="J196" s="16"/>
      <c r="K196" s="16"/>
      <c r="L196" s="21" t="str">
        <f aca="false">IF(E196="","",E196+7)</f>
        <v/>
      </c>
      <c r="M196" s="21" t="str">
        <f aca="false">IF(E196="","",E196+21)</f>
        <v/>
      </c>
      <c r="N196" s="15"/>
      <c r="O196" s="23"/>
      <c r="P196" s="15"/>
      <c r="Q196" s="15"/>
    </row>
    <row r="197" customFormat="false" ht="15" hidden="false" customHeight="false" outlineLevel="0" collapsed="false">
      <c r="A197" s="15"/>
      <c r="B197" s="15"/>
      <c r="C197" s="15"/>
      <c r="D197" s="14"/>
      <c r="E197" s="14"/>
      <c r="F197" s="21" t="str">
        <f aca="false">IF(E197="","",E197+30)</f>
        <v/>
      </c>
      <c r="G197" s="21" t="str">
        <f aca="false">IF(D197="","",D197+45)</f>
        <v/>
      </c>
      <c r="H197" s="17" t="str">
        <f aca="true">IF(G197="","",G197-TODAY())</f>
        <v/>
      </c>
      <c r="I197" s="22" t="str">
        <f aca="false">IF(H197="","",IF(OR(P197="Ganho",P197="Perdido"),IF(H197&gt;=0,"Revogar o token",""),IF(H197&lt;0,"Token vencido",IF(H197&lt;=7,"Token vence em breve",""))))</f>
        <v/>
      </c>
      <c r="J197" s="16"/>
      <c r="K197" s="16"/>
      <c r="L197" s="21" t="str">
        <f aca="false">IF(E197="","",E197+7)</f>
        <v/>
      </c>
      <c r="M197" s="21" t="str">
        <f aca="false">IF(E197="","",E197+21)</f>
        <v/>
      </c>
      <c r="N197" s="15"/>
      <c r="O197" s="23"/>
      <c r="P197" s="15"/>
      <c r="Q197" s="15"/>
    </row>
    <row r="198" customFormat="false" ht="15" hidden="false" customHeight="false" outlineLevel="0" collapsed="false">
      <c r="A198" s="15"/>
      <c r="B198" s="15"/>
      <c r="C198" s="15"/>
      <c r="D198" s="14"/>
      <c r="E198" s="14"/>
      <c r="F198" s="21" t="str">
        <f aca="false">IF(E198="","",E198+30)</f>
        <v/>
      </c>
      <c r="G198" s="21" t="str">
        <f aca="false">IF(D198="","",D198+45)</f>
        <v/>
      </c>
      <c r="H198" s="17" t="str">
        <f aca="true">IF(G198="","",G198-TODAY())</f>
        <v/>
      </c>
      <c r="I198" s="22" t="str">
        <f aca="false">IF(H198="","",IF(OR(P198="Ganho",P198="Perdido"),IF(H198&gt;=0,"Revogar o token",""),IF(H198&lt;0,"Token vencido",IF(H198&lt;=7,"Token vence em breve",""))))</f>
        <v/>
      </c>
      <c r="J198" s="16"/>
      <c r="K198" s="16"/>
      <c r="L198" s="21" t="str">
        <f aca="false">IF(E198="","",E198+7)</f>
        <v/>
      </c>
      <c r="M198" s="21" t="str">
        <f aca="false">IF(E198="","",E198+21)</f>
        <v/>
      </c>
      <c r="N198" s="15"/>
      <c r="O198" s="23"/>
      <c r="P198" s="15"/>
      <c r="Q198" s="15"/>
    </row>
    <row r="199" customFormat="false" ht="15" hidden="false" customHeight="false" outlineLevel="0" collapsed="false">
      <c r="A199" s="15"/>
      <c r="B199" s="15"/>
      <c r="C199" s="15"/>
      <c r="D199" s="14"/>
      <c r="E199" s="14"/>
      <c r="F199" s="21" t="str">
        <f aca="false">IF(E199="","",E199+30)</f>
        <v/>
      </c>
      <c r="G199" s="21" t="str">
        <f aca="false">IF(D199="","",D199+45)</f>
        <v/>
      </c>
      <c r="H199" s="17" t="str">
        <f aca="true">IF(G199="","",G199-TODAY())</f>
        <v/>
      </c>
      <c r="I199" s="22" t="str">
        <f aca="false">IF(H199="","",IF(OR(P199="Ganho",P199="Perdido"),IF(H199&gt;=0,"Revogar o token",""),IF(H199&lt;0,"Token vencido",IF(H199&lt;=7,"Token vence em breve",""))))</f>
        <v/>
      </c>
      <c r="J199" s="16"/>
      <c r="K199" s="16"/>
      <c r="L199" s="21" t="str">
        <f aca="false">IF(E199="","",E199+7)</f>
        <v/>
      </c>
      <c r="M199" s="21" t="str">
        <f aca="false">IF(E199="","",E199+21)</f>
        <v/>
      </c>
      <c r="N199" s="15"/>
      <c r="O199" s="23"/>
      <c r="P199" s="15"/>
      <c r="Q199" s="15"/>
    </row>
    <row r="200" customFormat="false" ht="15" hidden="false" customHeight="false" outlineLevel="0" collapsed="false">
      <c r="A200" s="15"/>
      <c r="B200" s="15"/>
      <c r="C200" s="15"/>
      <c r="D200" s="14"/>
      <c r="E200" s="14"/>
      <c r="F200" s="21" t="str">
        <f aca="false">IF(E200="","",E200+30)</f>
        <v/>
      </c>
      <c r="G200" s="21" t="str">
        <f aca="false">IF(D200="","",D200+45)</f>
        <v/>
      </c>
      <c r="H200" s="17" t="str">
        <f aca="true">IF(G200="","",G200-TODAY())</f>
        <v/>
      </c>
      <c r="I200" s="22" t="str">
        <f aca="false">IF(H200="","",IF(OR(P200="Ganho",P200="Perdido"),IF(H200&gt;=0,"Revogar o token",""),IF(H200&lt;0,"Token vencido",IF(H200&lt;=7,"Token vence em breve",""))))</f>
        <v/>
      </c>
      <c r="J200" s="16"/>
      <c r="K200" s="16"/>
      <c r="L200" s="21" t="str">
        <f aca="false">IF(E200="","",E200+7)</f>
        <v/>
      </c>
      <c r="M200" s="21" t="str">
        <f aca="false">IF(E200="","",E200+21)</f>
        <v/>
      </c>
      <c r="N200" s="15"/>
      <c r="O200" s="23"/>
      <c r="P200" s="15"/>
      <c r="Q200" s="15"/>
    </row>
    <row r="201" customFormat="false" ht="15" hidden="false" customHeight="false" outlineLevel="0" collapsed="false">
      <c r="A201" s="15"/>
      <c r="B201" s="15"/>
      <c r="C201" s="15"/>
      <c r="D201" s="14"/>
      <c r="E201" s="14"/>
      <c r="F201" s="21" t="str">
        <f aca="false">IF(E201="","",E201+30)</f>
        <v/>
      </c>
      <c r="G201" s="21" t="str">
        <f aca="false">IF(D201="","",D201+45)</f>
        <v/>
      </c>
      <c r="H201" s="17" t="str">
        <f aca="true">IF(G201="","",G201-TODAY())</f>
        <v/>
      </c>
      <c r="I201" s="22" t="str">
        <f aca="false">IF(H201="","",IF(OR(P201="Ganho",P201="Perdido"),IF(H201&gt;=0,"Revogar o token",""),IF(H201&lt;0,"Token vencido",IF(H201&lt;=7,"Token vence em breve",""))))</f>
        <v/>
      </c>
      <c r="J201" s="16"/>
      <c r="K201" s="16"/>
      <c r="L201" s="21" t="str">
        <f aca="false">IF(E201="","",E201+7)</f>
        <v/>
      </c>
      <c r="M201" s="21" t="str">
        <f aca="false">IF(E201="","",E201+21)</f>
        <v/>
      </c>
      <c r="N201" s="15"/>
      <c r="O201" s="23"/>
      <c r="P201" s="15"/>
      <c r="Q201" s="15"/>
    </row>
  </sheetData>
  <autoFilter ref="A1:Q201"/>
  <conditionalFormatting sqref="I2:I201">
    <cfRule type="expression" priority="2" aboveAverage="0" equalAverage="0" bottom="0" percent="0" rank="0" text="" dxfId="6">
      <formula>I2&lt;&gt;""</formula>
    </cfRule>
  </conditionalFormatting>
  <dataValidations count="2">
    <dataValidation allowBlank="true" error="Escolha um valor da lista" errorStyle="stop" operator="between" showDropDown="false" showErrorMessage="false" showInputMessage="false" sqref="N2:N201" type="list">
      <formula1>"Essencial,Profissional,Enterprise"</formula1>
      <formula2>0</formula2>
    </dataValidation>
    <dataValidation allowBlank="true" error="Escolha um valor da lista" errorStyle="stop" operator="between" showDropDown="false" showErrorMessage="false" showInputMessage="false" sqref="P2:P201" type="list">
      <formula1>"Em teste,Proposta enviada,Ganho,Perdido"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9" t="s">
        <v>28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23</v>
      </c>
      <c r="I1" s="9" t="s">
        <v>74</v>
      </c>
      <c r="J1" s="9" t="s">
        <v>75</v>
      </c>
      <c r="K1" s="9" t="s">
        <v>56</v>
      </c>
      <c r="L1" s="9" t="s">
        <v>57</v>
      </c>
      <c r="M1" s="9" t="s">
        <v>76</v>
      </c>
      <c r="N1" s="9" t="s">
        <v>40</v>
      </c>
    </row>
    <row r="2" customFormat="false" ht="15" hidden="false" customHeight="false" outlineLevel="0" collapsed="false">
      <c r="A2" s="11" t="s">
        <v>42</v>
      </c>
      <c r="B2" s="11" t="s">
        <v>77</v>
      </c>
      <c r="C2" s="11" t="s">
        <v>67</v>
      </c>
      <c r="D2" s="11" t="s">
        <v>78</v>
      </c>
      <c r="E2" s="10" t="n">
        <v>46327</v>
      </c>
      <c r="F2" s="10" t="n">
        <v>46691</v>
      </c>
      <c r="G2" s="20" t="n">
        <v>1890</v>
      </c>
      <c r="H2" s="24" t="n">
        <f aca="false">IF(G2="","",IF(D2="Anual",G2*10,G2*12))</f>
        <v>18900</v>
      </c>
      <c r="I2" s="13" t="n">
        <f aca="true">IF(F2="","",F2-TODAY())</f>
        <v>369</v>
      </c>
      <c r="J2" s="10" t="n">
        <v>46706</v>
      </c>
      <c r="K2" s="13" t="n">
        <f aca="true">IF(J2="","",J2-TODAY())</f>
        <v>384</v>
      </c>
      <c r="L2" s="19" t="str">
        <f aca="false">IF(A2="","",IF(AND(I2&lt;&gt;"",I2&lt;=30),"Renovar a licença",IF(AND(K2&lt;&gt;"",K2&lt;=15),"Renovar o token","")))</f>
        <v/>
      </c>
      <c r="M2" s="11" t="s">
        <v>79</v>
      </c>
      <c r="N2" s="11" t="s">
        <v>80</v>
      </c>
    </row>
    <row r="3" customFormat="false" ht="15" hidden="false" customHeight="false" outlineLevel="0" collapsed="false">
      <c r="A3" s="15"/>
      <c r="B3" s="15"/>
      <c r="C3" s="15"/>
      <c r="D3" s="15"/>
      <c r="E3" s="14"/>
      <c r="F3" s="14"/>
      <c r="G3" s="23"/>
      <c r="H3" s="25" t="str">
        <f aca="false">IF(G3="","",IF(D3="Anual",G3*10,G3*12))</f>
        <v/>
      </c>
      <c r="I3" s="17" t="str">
        <f aca="true">IF(F3="","",F3-TODAY())</f>
        <v/>
      </c>
      <c r="J3" s="14"/>
      <c r="K3" s="17" t="str">
        <f aca="true">IF(J3="","",J3-TODAY())</f>
        <v/>
      </c>
      <c r="L3" s="22" t="str">
        <f aca="false">IF(A3="","",IF(AND(I3&lt;&gt;"",I3&lt;=30),"Renovar a licença",IF(AND(K3&lt;&gt;"",K3&lt;=15),"Renovar o token","")))</f>
        <v/>
      </c>
      <c r="M3" s="15"/>
      <c r="N3" s="15"/>
    </row>
    <row r="4" customFormat="false" ht="15" hidden="false" customHeight="false" outlineLevel="0" collapsed="false">
      <c r="A4" s="15"/>
      <c r="B4" s="15"/>
      <c r="C4" s="15"/>
      <c r="D4" s="15"/>
      <c r="E4" s="14"/>
      <c r="F4" s="14"/>
      <c r="G4" s="23"/>
      <c r="H4" s="25" t="str">
        <f aca="false">IF(G4="","",IF(D4="Anual",G4*10,G4*12))</f>
        <v/>
      </c>
      <c r="I4" s="17" t="str">
        <f aca="true">IF(F4="","",F4-TODAY())</f>
        <v/>
      </c>
      <c r="J4" s="14"/>
      <c r="K4" s="17" t="str">
        <f aca="true">IF(J4="","",J4-TODAY())</f>
        <v/>
      </c>
      <c r="L4" s="22" t="str">
        <f aca="false">IF(A4="","",IF(AND(I4&lt;&gt;"",I4&lt;=30),"Renovar a licença",IF(AND(K4&lt;&gt;"",K4&lt;=15),"Renovar o token","")))</f>
        <v/>
      </c>
      <c r="M4" s="15"/>
      <c r="N4" s="15"/>
    </row>
    <row r="5" customFormat="false" ht="15" hidden="false" customHeight="false" outlineLevel="0" collapsed="false">
      <c r="A5" s="15"/>
      <c r="B5" s="15"/>
      <c r="C5" s="15"/>
      <c r="D5" s="15"/>
      <c r="E5" s="14"/>
      <c r="F5" s="14"/>
      <c r="G5" s="23"/>
      <c r="H5" s="25" t="str">
        <f aca="false">IF(G5="","",IF(D5="Anual",G5*10,G5*12))</f>
        <v/>
      </c>
      <c r="I5" s="17" t="str">
        <f aca="true">IF(F5="","",F5-TODAY())</f>
        <v/>
      </c>
      <c r="J5" s="14"/>
      <c r="K5" s="17" t="str">
        <f aca="true">IF(J5="","",J5-TODAY())</f>
        <v/>
      </c>
      <c r="L5" s="22" t="str">
        <f aca="false">IF(A5="","",IF(AND(I5&lt;&gt;"",I5&lt;=30),"Renovar a licença",IF(AND(K5&lt;&gt;"",K5&lt;=15),"Renovar o token","")))</f>
        <v/>
      </c>
      <c r="M5" s="15"/>
      <c r="N5" s="15"/>
    </row>
    <row r="6" customFormat="false" ht="15" hidden="false" customHeight="false" outlineLevel="0" collapsed="false">
      <c r="A6" s="15"/>
      <c r="B6" s="15"/>
      <c r="C6" s="15"/>
      <c r="D6" s="15"/>
      <c r="E6" s="14"/>
      <c r="F6" s="14"/>
      <c r="G6" s="23"/>
      <c r="H6" s="25" t="str">
        <f aca="false">IF(G6="","",IF(D6="Anual",G6*10,G6*12))</f>
        <v/>
      </c>
      <c r="I6" s="17" t="str">
        <f aca="true">IF(F6="","",F6-TODAY())</f>
        <v/>
      </c>
      <c r="J6" s="14"/>
      <c r="K6" s="17" t="str">
        <f aca="true">IF(J6="","",J6-TODAY())</f>
        <v/>
      </c>
      <c r="L6" s="22" t="str">
        <f aca="false">IF(A6="","",IF(AND(I6&lt;&gt;"",I6&lt;=30),"Renovar a licença",IF(AND(K6&lt;&gt;"",K6&lt;=15),"Renovar o token","")))</f>
        <v/>
      </c>
      <c r="M6" s="15"/>
      <c r="N6" s="15"/>
    </row>
    <row r="7" customFormat="false" ht="15" hidden="false" customHeight="false" outlineLevel="0" collapsed="false">
      <c r="A7" s="15"/>
      <c r="B7" s="15"/>
      <c r="C7" s="15"/>
      <c r="D7" s="15"/>
      <c r="E7" s="14"/>
      <c r="F7" s="14"/>
      <c r="G7" s="23"/>
      <c r="H7" s="25" t="str">
        <f aca="false">IF(G7="","",IF(D7="Anual",G7*10,G7*12))</f>
        <v/>
      </c>
      <c r="I7" s="17" t="str">
        <f aca="true">IF(F7="","",F7-TODAY())</f>
        <v/>
      </c>
      <c r="J7" s="14"/>
      <c r="K7" s="17" t="str">
        <f aca="true">IF(J7="","",J7-TODAY())</f>
        <v/>
      </c>
      <c r="L7" s="22" t="str">
        <f aca="false">IF(A7="","",IF(AND(I7&lt;&gt;"",I7&lt;=30),"Renovar a licença",IF(AND(K7&lt;&gt;"",K7&lt;=15),"Renovar o token","")))</f>
        <v/>
      </c>
      <c r="M7" s="15"/>
      <c r="N7" s="15"/>
    </row>
    <row r="8" customFormat="false" ht="15" hidden="false" customHeight="false" outlineLevel="0" collapsed="false">
      <c r="A8" s="15"/>
      <c r="B8" s="15"/>
      <c r="C8" s="15"/>
      <c r="D8" s="15"/>
      <c r="E8" s="14"/>
      <c r="F8" s="14"/>
      <c r="G8" s="23"/>
      <c r="H8" s="25" t="str">
        <f aca="false">IF(G8="","",IF(D8="Anual",G8*10,G8*12))</f>
        <v/>
      </c>
      <c r="I8" s="17" t="str">
        <f aca="true">IF(F8="","",F8-TODAY())</f>
        <v/>
      </c>
      <c r="J8" s="14"/>
      <c r="K8" s="17" t="str">
        <f aca="true">IF(J8="","",J8-TODAY())</f>
        <v/>
      </c>
      <c r="L8" s="22" t="str">
        <f aca="false">IF(A8="","",IF(AND(I8&lt;&gt;"",I8&lt;=30),"Renovar a licença",IF(AND(K8&lt;&gt;"",K8&lt;=15),"Renovar o token","")))</f>
        <v/>
      </c>
      <c r="M8" s="15"/>
      <c r="N8" s="15"/>
    </row>
    <row r="9" customFormat="false" ht="15" hidden="false" customHeight="false" outlineLevel="0" collapsed="false">
      <c r="A9" s="15"/>
      <c r="B9" s="15"/>
      <c r="C9" s="15"/>
      <c r="D9" s="15"/>
      <c r="E9" s="14"/>
      <c r="F9" s="14"/>
      <c r="G9" s="23"/>
      <c r="H9" s="25" t="str">
        <f aca="false">IF(G9="","",IF(D9="Anual",G9*10,G9*12))</f>
        <v/>
      </c>
      <c r="I9" s="17" t="str">
        <f aca="true">IF(F9="","",F9-TODAY())</f>
        <v/>
      </c>
      <c r="J9" s="14"/>
      <c r="K9" s="17" t="str">
        <f aca="true">IF(J9="","",J9-TODAY())</f>
        <v/>
      </c>
      <c r="L9" s="22" t="str">
        <f aca="false">IF(A9="","",IF(AND(I9&lt;&gt;"",I9&lt;=30),"Renovar a licença",IF(AND(K9&lt;&gt;"",K9&lt;=15),"Renovar o token","")))</f>
        <v/>
      </c>
      <c r="M9" s="15"/>
      <c r="N9" s="15"/>
    </row>
    <row r="10" customFormat="false" ht="15" hidden="false" customHeight="false" outlineLevel="0" collapsed="false">
      <c r="A10" s="15"/>
      <c r="B10" s="15"/>
      <c r="C10" s="15"/>
      <c r="D10" s="15"/>
      <c r="E10" s="14"/>
      <c r="F10" s="14"/>
      <c r="G10" s="23"/>
      <c r="H10" s="25" t="str">
        <f aca="false">IF(G10="","",IF(D10="Anual",G10*10,G10*12))</f>
        <v/>
      </c>
      <c r="I10" s="17" t="str">
        <f aca="true">IF(F10="","",F10-TODAY())</f>
        <v/>
      </c>
      <c r="J10" s="14"/>
      <c r="K10" s="17" t="str">
        <f aca="true">IF(J10="","",J10-TODAY())</f>
        <v/>
      </c>
      <c r="L10" s="22" t="str">
        <f aca="false">IF(A10="","",IF(AND(I10&lt;&gt;"",I10&lt;=30),"Renovar a licença",IF(AND(K10&lt;&gt;"",K10&lt;=15),"Renovar o token","")))</f>
        <v/>
      </c>
      <c r="M10" s="15"/>
      <c r="N10" s="15"/>
    </row>
    <row r="11" customFormat="false" ht="15" hidden="false" customHeight="false" outlineLevel="0" collapsed="false">
      <c r="A11" s="15"/>
      <c r="B11" s="15"/>
      <c r="C11" s="15"/>
      <c r="D11" s="15"/>
      <c r="E11" s="14"/>
      <c r="F11" s="14"/>
      <c r="G11" s="23"/>
      <c r="H11" s="25" t="str">
        <f aca="false">IF(G11="","",IF(D11="Anual",G11*10,G11*12))</f>
        <v/>
      </c>
      <c r="I11" s="17" t="str">
        <f aca="true">IF(F11="","",F11-TODAY())</f>
        <v/>
      </c>
      <c r="J11" s="14"/>
      <c r="K11" s="17" t="str">
        <f aca="true">IF(J11="","",J11-TODAY())</f>
        <v/>
      </c>
      <c r="L11" s="22" t="str">
        <f aca="false">IF(A11="","",IF(AND(I11&lt;&gt;"",I11&lt;=30),"Renovar a licença",IF(AND(K11&lt;&gt;"",K11&lt;=15),"Renovar o token","")))</f>
        <v/>
      </c>
      <c r="M11" s="15"/>
      <c r="N11" s="15"/>
    </row>
    <row r="12" customFormat="false" ht="15" hidden="false" customHeight="false" outlineLevel="0" collapsed="false">
      <c r="A12" s="15"/>
      <c r="B12" s="15"/>
      <c r="C12" s="15"/>
      <c r="D12" s="15"/>
      <c r="E12" s="14"/>
      <c r="F12" s="14"/>
      <c r="G12" s="23"/>
      <c r="H12" s="25" t="str">
        <f aca="false">IF(G12="","",IF(D12="Anual",G12*10,G12*12))</f>
        <v/>
      </c>
      <c r="I12" s="17" t="str">
        <f aca="true">IF(F12="","",F12-TODAY())</f>
        <v/>
      </c>
      <c r="J12" s="14"/>
      <c r="K12" s="17" t="str">
        <f aca="true">IF(J12="","",J12-TODAY())</f>
        <v/>
      </c>
      <c r="L12" s="22" t="str">
        <f aca="false">IF(A12="","",IF(AND(I12&lt;&gt;"",I12&lt;=30),"Renovar a licença",IF(AND(K12&lt;&gt;"",K12&lt;=15),"Renovar o token","")))</f>
        <v/>
      </c>
      <c r="M12" s="15"/>
      <c r="N12" s="15"/>
    </row>
    <row r="13" customFormat="false" ht="15" hidden="false" customHeight="false" outlineLevel="0" collapsed="false">
      <c r="A13" s="15"/>
      <c r="B13" s="15"/>
      <c r="C13" s="15"/>
      <c r="D13" s="15"/>
      <c r="E13" s="14"/>
      <c r="F13" s="14"/>
      <c r="G13" s="23"/>
      <c r="H13" s="25" t="str">
        <f aca="false">IF(G13="","",IF(D13="Anual",G13*10,G13*12))</f>
        <v/>
      </c>
      <c r="I13" s="17" t="str">
        <f aca="true">IF(F13="","",F13-TODAY())</f>
        <v/>
      </c>
      <c r="J13" s="14"/>
      <c r="K13" s="17" t="str">
        <f aca="true">IF(J13="","",J13-TODAY())</f>
        <v/>
      </c>
      <c r="L13" s="22" t="str">
        <f aca="false">IF(A13="","",IF(AND(I13&lt;&gt;"",I13&lt;=30),"Renovar a licença",IF(AND(K13&lt;&gt;"",K13&lt;=15),"Renovar o token","")))</f>
        <v/>
      </c>
      <c r="M13" s="15"/>
      <c r="N13" s="15"/>
    </row>
    <row r="14" customFormat="false" ht="15" hidden="false" customHeight="false" outlineLevel="0" collapsed="false">
      <c r="A14" s="15"/>
      <c r="B14" s="15"/>
      <c r="C14" s="15"/>
      <c r="D14" s="15"/>
      <c r="E14" s="14"/>
      <c r="F14" s="14"/>
      <c r="G14" s="23"/>
      <c r="H14" s="25" t="str">
        <f aca="false">IF(G14="","",IF(D14="Anual",G14*10,G14*12))</f>
        <v/>
      </c>
      <c r="I14" s="17" t="str">
        <f aca="true">IF(F14="","",F14-TODAY())</f>
        <v/>
      </c>
      <c r="J14" s="14"/>
      <c r="K14" s="17" t="str">
        <f aca="true">IF(J14="","",J14-TODAY())</f>
        <v/>
      </c>
      <c r="L14" s="22" t="str">
        <f aca="false">IF(A14="","",IF(AND(I14&lt;&gt;"",I14&lt;=30),"Renovar a licença",IF(AND(K14&lt;&gt;"",K14&lt;=15),"Renovar o token","")))</f>
        <v/>
      </c>
      <c r="M14" s="15"/>
      <c r="N14" s="15"/>
    </row>
    <row r="15" customFormat="false" ht="15" hidden="false" customHeight="false" outlineLevel="0" collapsed="false">
      <c r="A15" s="15"/>
      <c r="B15" s="15"/>
      <c r="C15" s="15"/>
      <c r="D15" s="15"/>
      <c r="E15" s="14"/>
      <c r="F15" s="14"/>
      <c r="G15" s="23"/>
      <c r="H15" s="25" t="str">
        <f aca="false">IF(G15="","",IF(D15="Anual",G15*10,G15*12))</f>
        <v/>
      </c>
      <c r="I15" s="17" t="str">
        <f aca="true">IF(F15="","",F15-TODAY())</f>
        <v/>
      </c>
      <c r="J15" s="14"/>
      <c r="K15" s="17" t="str">
        <f aca="true">IF(J15="","",J15-TODAY())</f>
        <v/>
      </c>
      <c r="L15" s="22" t="str">
        <f aca="false">IF(A15="","",IF(AND(I15&lt;&gt;"",I15&lt;=30),"Renovar a licença",IF(AND(K15&lt;&gt;"",K15&lt;=15),"Renovar o token","")))</f>
        <v/>
      </c>
      <c r="M15" s="15"/>
      <c r="N15" s="15"/>
    </row>
    <row r="16" customFormat="false" ht="15" hidden="false" customHeight="false" outlineLevel="0" collapsed="false">
      <c r="A16" s="15"/>
      <c r="B16" s="15"/>
      <c r="C16" s="15"/>
      <c r="D16" s="15"/>
      <c r="E16" s="14"/>
      <c r="F16" s="14"/>
      <c r="G16" s="23"/>
      <c r="H16" s="25" t="str">
        <f aca="false">IF(G16="","",IF(D16="Anual",G16*10,G16*12))</f>
        <v/>
      </c>
      <c r="I16" s="17" t="str">
        <f aca="true">IF(F16="","",F16-TODAY())</f>
        <v/>
      </c>
      <c r="J16" s="14"/>
      <c r="K16" s="17" t="str">
        <f aca="true">IF(J16="","",J16-TODAY())</f>
        <v/>
      </c>
      <c r="L16" s="22" t="str">
        <f aca="false">IF(A16="","",IF(AND(I16&lt;&gt;"",I16&lt;=30),"Renovar a licença",IF(AND(K16&lt;&gt;"",K16&lt;=15),"Renovar o token","")))</f>
        <v/>
      </c>
      <c r="M16" s="15"/>
      <c r="N16" s="15"/>
    </row>
    <row r="17" customFormat="false" ht="15" hidden="false" customHeight="false" outlineLevel="0" collapsed="false">
      <c r="A17" s="15"/>
      <c r="B17" s="15"/>
      <c r="C17" s="15"/>
      <c r="D17" s="15"/>
      <c r="E17" s="14"/>
      <c r="F17" s="14"/>
      <c r="G17" s="23"/>
      <c r="H17" s="25" t="str">
        <f aca="false">IF(G17="","",IF(D17="Anual",G17*10,G17*12))</f>
        <v/>
      </c>
      <c r="I17" s="17" t="str">
        <f aca="true">IF(F17="","",F17-TODAY())</f>
        <v/>
      </c>
      <c r="J17" s="14"/>
      <c r="K17" s="17" t="str">
        <f aca="true">IF(J17="","",J17-TODAY())</f>
        <v/>
      </c>
      <c r="L17" s="22" t="str">
        <f aca="false">IF(A17="","",IF(AND(I17&lt;&gt;"",I17&lt;=30),"Renovar a licença",IF(AND(K17&lt;&gt;"",K17&lt;=15),"Renovar o token","")))</f>
        <v/>
      </c>
      <c r="M17" s="15"/>
      <c r="N17" s="15"/>
    </row>
    <row r="18" customFormat="false" ht="15" hidden="false" customHeight="false" outlineLevel="0" collapsed="false">
      <c r="A18" s="15"/>
      <c r="B18" s="15"/>
      <c r="C18" s="15"/>
      <c r="D18" s="15"/>
      <c r="E18" s="14"/>
      <c r="F18" s="14"/>
      <c r="G18" s="23"/>
      <c r="H18" s="25" t="str">
        <f aca="false">IF(G18="","",IF(D18="Anual",G18*10,G18*12))</f>
        <v/>
      </c>
      <c r="I18" s="17" t="str">
        <f aca="true">IF(F18="","",F18-TODAY())</f>
        <v/>
      </c>
      <c r="J18" s="14"/>
      <c r="K18" s="17" t="str">
        <f aca="true">IF(J18="","",J18-TODAY())</f>
        <v/>
      </c>
      <c r="L18" s="22" t="str">
        <f aca="false">IF(A18="","",IF(AND(I18&lt;&gt;"",I18&lt;=30),"Renovar a licença",IF(AND(K18&lt;&gt;"",K18&lt;=15),"Renovar o token","")))</f>
        <v/>
      </c>
      <c r="M18" s="15"/>
      <c r="N18" s="15"/>
    </row>
    <row r="19" customFormat="false" ht="15" hidden="false" customHeight="false" outlineLevel="0" collapsed="false">
      <c r="A19" s="15"/>
      <c r="B19" s="15"/>
      <c r="C19" s="15"/>
      <c r="D19" s="15"/>
      <c r="E19" s="14"/>
      <c r="F19" s="14"/>
      <c r="G19" s="23"/>
      <c r="H19" s="25" t="str">
        <f aca="false">IF(G19="","",IF(D19="Anual",G19*10,G19*12))</f>
        <v/>
      </c>
      <c r="I19" s="17" t="str">
        <f aca="true">IF(F19="","",F19-TODAY())</f>
        <v/>
      </c>
      <c r="J19" s="14"/>
      <c r="K19" s="17" t="str">
        <f aca="true">IF(J19="","",J19-TODAY())</f>
        <v/>
      </c>
      <c r="L19" s="22" t="str">
        <f aca="false">IF(A19="","",IF(AND(I19&lt;&gt;"",I19&lt;=30),"Renovar a licença",IF(AND(K19&lt;&gt;"",K19&lt;=15),"Renovar o token","")))</f>
        <v/>
      </c>
      <c r="M19" s="15"/>
      <c r="N19" s="15"/>
    </row>
    <row r="20" customFormat="false" ht="15" hidden="false" customHeight="false" outlineLevel="0" collapsed="false">
      <c r="A20" s="15"/>
      <c r="B20" s="15"/>
      <c r="C20" s="15"/>
      <c r="D20" s="15"/>
      <c r="E20" s="14"/>
      <c r="F20" s="14"/>
      <c r="G20" s="23"/>
      <c r="H20" s="25" t="str">
        <f aca="false">IF(G20="","",IF(D20="Anual",G20*10,G20*12))</f>
        <v/>
      </c>
      <c r="I20" s="17" t="str">
        <f aca="true">IF(F20="","",F20-TODAY())</f>
        <v/>
      </c>
      <c r="J20" s="14"/>
      <c r="K20" s="17" t="str">
        <f aca="true">IF(J20="","",J20-TODAY())</f>
        <v/>
      </c>
      <c r="L20" s="22" t="str">
        <f aca="false">IF(A20="","",IF(AND(I20&lt;&gt;"",I20&lt;=30),"Renovar a licença",IF(AND(K20&lt;&gt;"",K20&lt;=15),"Renovar o token","")))</f>
        <v/>
      </c>
      <c r="M20" s="15"/>
      <c r="N20" s="15"/>
    </row>
    <row r="21" customFormat="false" ht="15" hidden="false" customHeight="false" outlineLevel="0" collapsed="false">
      <c r="A21" s="15"/>
      <c r="B21" s="15"/>
      <c r="C21" s="15"/>
      <c r="D21" s="15"/>
      <c r="E21" s="14"/>
      <c r="F21" s="14"/>
      <c r="G21" s="23"/>
      <c r="H21" s="25" t="str">
        <f aca="false">IF(G21="","",IF(D21="Anual",G21*10,G21*12))</f>
        <v/>
      </c>
      <c r="I21" s="17" t="str">
        <f aca="true">IF(F21="","",F21-TODAY())</f>
        <v/>
      </c>
      <c r="J21" s="14"/>
      <c r="K21" s="17" t="str">
        <f aca="true">IF(J21="","",J21-TODAY())</f>
        <v/>
      </c>
      <c r="L21" s="22" t="str">
        <f aca="false">IF(A21="","",IF(AND(I21&lt;&gt;"",I21&lt;=30),"Renovar a licença",IF(AND(K21&lt;&gt;"",K21&lt;=15),"Renovar o token","")))</f>
        <v/>
      </c>
      <c r="M21" s="15"/>
      <c r="N21" s="15"/>
    </row>
    <row r="22" customFormat="false" ht="15" hidden="false" customHeight="false" outlineLevel="0" collapsed="false">
      <c r="A22" s="15"/>
      <c r="B22" s="15"/>
      <c r="C22" s="15"/>
      <c r="D22" s="15"/>
      <c r="E22" s="14"/>
      <c r="F22" s="14"/>
      <c r="G22" s="23"/>
      <c r="H22" s="25" t="str">
        <f aca="false">IF(G22="","",IF(D22="Anual",G22*10,G22*12))</f>
        <v/>
      </c>
      <c r="I22" s="17" t="str">
        <f aca="true">IF(F22="","",F22-TODAY())</f>
        <v/>
      </c>
      <c r="J22" s="14"/>
      <c r="K22" s="17" t="str">
        <f aca="true">IF(J22="","",J22-TODAY())</f>
        <v/>
      </c>
      <c r="L22" s="22" t="str">
        <f aca="false">IF(A22="","",IF(AND(I22&lt;&gt;"",I22&lt;=30),"Renovar a licença",IF(AND(K22&lt;&gt;"",K22&lt;=15),"Renovar o token","")))</f>
        <v/>
      </c>
      <c r="M22" s="15"/>
      <c r="N22" s="15"/>
    </row>
    <row r="23" customFormat="false" ht="15" hidden="false" customHeight="false" outlineLevel="0" collapsed="false">
      <c r="A23" s="15"/>
      <c r="B23" s="15"/>
      <c r="C23" s="15"/>
      <c r="D23" s="15"/>
      <c r="E23" s="14"/>
      <c r="F23" s="14"/>
      <c r="G23" s="23"/>
      <c r="H23" s="25" t="str">
        <f aca="false">IF(G23="","",IF(D23="Anual",G23*10,G23*12))</f>
        <v/>
      </c>
      <c r="I23" s="17" t="str">
        <f aca="true">IF(F23="","",F23-TODAY())</f>
        <v/>
      </c>
      <c r="J23" s="14"/>
      <c r="K23" s="17" t="str">
        <f aca="true">IF(J23="","",J23-TODAY())</f>
        <v/>
      </c>
      <c r="L23" s="22" t="str">
        <f aca="false">IF(A23="","",IF(AND(I23&lt;&gt;"",I23&lt;=30),"Renovar a licença",IF(AND(K23&lt;&gt;"",K23&lt;=15),"Renovar o token","")))</f>
        <v/>
      </c>
      <c r="M23" s="15"/>
      <c r="N23" s="15"/>
    </row>
    <row r="24" customFormat="false" ht="15" hidden="false" customHeight="false" outlineLevel="0" collapsed="false">
      <c r="A24" s="15"/>
      <c r="B24" s="15"/>
      <c r="C24" s="15"/>
      <c r="D24" s="15"/>
      <c r="E24" s="14"/>
      <c r="F24" s="14"/>
      <c r="G24" s="23"/>
      <c r="H24" s="25" t="str">
        <f aca="false">IF(G24="","",IF(D24="Anual",G24*10,G24*12))</f>
        <v/>
      </c>
      <c r="I24" s="17" t="str">
        <f aca="true">IF(F24="","",F24-TODAY())</f>
        <v/>
      </c>
      <c r="J24" s="14"/>
      <c r="K24" s="17" t="str">
        <f aca="true">IF(J24="","",J24-TODAY())</f>
        <v/>
      </c>
      <c r="L24" s="22" t="str">
        <f aca="false">IF(A24="","",IF(AND(I24&lt;&gt;"",I24&lt;=30),"Renovar a licença",IF(AND(K24&lt;&gt;"",K24&lt;=15),"Renovar o token","")))</f>
        <v/>
      </c>
      <c r="M24" s="15"/>
      <c r="N24" s="15"/>
    </row>
    <row r="25" customFormat="false" ht="15" hidden="false" customHeight="false" outlineLevel="0" collapsed="false">
      <c r="A25" s="15"/>
      <c r="B25" s="15"/>
      <c r="C25" s="15"/>
      <c r="D25" s="15"/>
      <c r="E25" s="14"/>
      <c r="F25" s="14"/>
      <c r="G25" s="23"/>
      <c r="H25" s="25" t="str">
        <f aca="false">IF(G25="","",IF(D25="Anual",G25*10,G25*12))</f>
        <v/>
      </c>
      <c r="I25" s="17" t="str">
        <f aca="true">IF(F25="","",F25-TODAY())</f>
        <v/>
      </c>
      <c r="J25" s="14"/>
      <c r="K25" s="17" t="str">
        <f aca="true">IF(J25="","",J25-TODAY())</f>
        <v/>
      </c>
      <c r="L25" s="22" t="str">
        <f aca="false">IF(A25="","",IF(AND(I25&lt;&gt;"",I25&lt;=30),"Renovar a licença",IF(AND(K25&lt;&gt;"",K25&lt;=15),"Renovar o token","")))</f>
        <v/>
      </c>
      <c r="M25" s="15"/>
      <c r="N25" s="15"/>
    </row>
    <row r="26" customFormat="false" ht="15" hidden="false" customHeight="false" outlineLevel="0" collapsed="false">
      <c r="A26" s="15"/>
      <c r="B26" s="15"/>
      <c r="C26" s="15"/>
      <c r="D26" s="15"/>
      <c r="E26" s="14"/>
      <c r="F26" s="14"/>
      <c r="G26" s="23"/>
      <c r="H26" s="25" t="str">
        <f aca="false">IF(G26="","",IF(D26="Anual",G26*10,G26*12))</f>
        <v/>
      </c>
      <c r="I26" s="17" t="str">
        <f aca="true">IF(F26="","",F26-TODAY())</f>
        <v/>
      </c>
      <c r="J26" s="14"/>
      <c r="K26" s="17" t="str">
        <f aca="true">IF(J26="","",J26-TODAY())</f>
        <v/>
      </c>
      <c r="L26" s="22" t="str">
        <f aca="false">IF(A26="","",IF(AND(I26&lt;&gt;"",I26&lt;=30),"Renovar a licença",IF(AND(K26&lt;&gt;"",K26&lt;=15),"Renovar o token","")))</f>
        <v/>
      </c>
      <c r="M26" s="15"/>
      <c r="N26" s="15"/>
    </row>
    <row r="27" customFormat="false" ht="15" hidden="false" customHeight="false" outlineLevel="0" collapsed="false">
      <c r="A27" s="15"/>
      <c r="B27" s="15"/>
      <c r="C27" s="15"/>
      <c r="D27" s="15"/>
      <c r="E27" s="14"/>
      <c r="F27" s="14"/>
      <c r="G27" s="23"/>
      <c r="H27" s="25" t="str">
        <f aca="false">IF(G27="","",IF(D27="Anual",G27*10,G27*12))</f>
        <v/>
      </c>
      <c r="I27" s="17" t="str">
        <f aca="true">IF(F27="","",F27-TODAY())</f>
        <v/>
      </c>
      <c r="J27" s="14"/>
      <c r="K27" s="17" t="str">
        <f aca="true">IF(J27="","",J27-TODAY())</f>
        <v/>
      </c>
      <c r="L27" s="22" t="str">
        <f aca="false">IF(A27="","",IF(AND(I27&lt;&gt;"",I27&lt;=30),"Renovar a licença",IF(AND(K27&lt;&gt;"",K27&lt;=15),"Renovar o token","")))</f>
        <v/>
      </c>
      <c r="M27" s="15"/>
      <c r="N27" s="15"/>
    </row>
    <row r="28" customFormat="false" ht="15" hidden="false" customHeight="false" outlineLevel="0" collapsed="false">
      <c r="A28" s="15"/>
      <c r="B28" s="15"/>
      <c r="C28" s="15"/>
      <c r="D28" s="15"/>
      <c r="E28" s="14"/>
      <c r="F28" s="14"/>
      <c r="G28" s="23"/>
      <c r="H28" s="25" t="str">
        <f aca="false">IF(G28="","",IF(D28="Anual",G28*10,G28*12))</f>
        <v/>
      </c>
      <c r="I28" s="17" t="str">
        <f aca="true">IF(F28="","",F28-TODAY())</f>
        <v/>
      </c>
      <c r="J28" s="14"/>
      <c r="K28" s="17" t="str">
        <f aca="true">IF(J28="","",J28-TODAY())</f>
        <v/>
      </c>
      <c r="L28" s="22" t="str">
        <f aca="false">IF(A28="","",IF(AND(I28&lt;&gt;"",I28&lt;=30),"Renovar a licença",IF(AND(K28&lt;&gt;"",K28&lt;=15),"Renovar o token","")))</f>
        <v/>
      </c>
      <c r="M28" s="15"/>
      <c r="N28" s="15"/>
    </row>
    <row r="29" customFormat="false" ht="15" hidden="false" customHeight="false" outlineLevel="0" collapsed="false">
      <c r="A29" s="15"/>
      <c r="B29" s="15"/>
      <c r="C29" s="15"/>
      <c r="D29" s="15"/>
      <c r="E29" s="14"/>
      <c r="F29" s="14"/>
      <c r="G29" s="23"/>
      <c r="H29" s="25" t="str">
        <f aca="false">IF(G29="","",IF(D29="Anual",G29*10,G29*12))</f>
        <v/>
      </c>
      <c r="I29" s="17" t="str">
        <f aca="true">IF(F29="","",F29-TODAY())</f>
        <v/>
      </c>
      <c r="J29" s="14"/>
      <c r="K29" s="17" t="str">
        <f aca="true">IF(J29="","",J29-TODAY())</f>
        <v/>
      </c>
      <c r="L29" s="22" t="str">
        <f aca="false">IF(A29="","",IF(AND(I29&lt;&gt;"",I29&lt;=30),"Renovar a licença",IF(AND(K29&lt;&gt;"",K29&lt;=15),"Renovar o token","")))</f>
        <v/>
      </c>
      <c r="M29" s="15"/>
      <c r="N29" s="15"/>
    </row>
    <row r="30" customFormat="false" ht="15" hidden="false" customHeight="false" outlineLevel="0" collapsed="false">
      <c r="A30" s="15"/>
      <c r="B30" s="15"/>
      <c r="C30" s="15"/>
      <c r="D30" s="15"/>
      <c r="E30" s="14"/>
      <c r="F30" s="14"/>
      <c r="G30" s="23"/>
      <c r="H30" s="25" t="str">
        <f aca="false">IF(G30="","",IF(D30="Anual",G30*10,G30*12))</f>
        <v/>
      </c>
      <c r="I30" s="17" t="str">
        <f aca="true">IF(F30="","",F30-TODAY())</f>
        <v/>
      </c>
      <c r="J30" s="14"/>
      <c r="K30" s="17" t="str">
        <f aca="true">IF(J30="","",J30-TODAY())</f>
        <v/>
      </c>
      <c r="L30" s="22" t="str">
        <f aca="false">IF(A30="","",IF(AND(I30&lt;&gt;"",I30&lt;=30),"Renovar a licença",IF(AND(K30&lt;&gt;"",K30&lt;=15),"Renovar o token","")))</f>
        <v/>
      </c>
      <c r="M30" s="15"/>
      <c r="N30" s="15"/>
    </row>
    <row r="31" customFormat="false" ht="15" hidden="false" customHeight="false" outlineLevel="0" collapsed="false">
      <c r="A31" s="15"/>
      <c r="B31" s="15"/>
      <c r="C31" s="15"/>
      <c r="D31" s="15"/>
      <c r="E31" s="14"/>
      <c r="F31" s="14"/>
      <c r="G31" s="23"/>
      <c r="H31" s="25" t="str">
        <f aca="false">IF(G31="","",IF(D31="Anual",G31*10,G31*12))</f>
        <v/>
      </c>
      <c r="I31" s="17" t="str">
        <f aca="true">IF(F31="","",F31-TODAY())</f>
        <v/>
      </c>
      <c r="J31" s="14"/>
      <c r="K31" s="17" t="str">
        <f aca="true">IF(J31="","",J31-TODAY())</f>
        <v/>
      </c>
      <c r="L31" s="22" t="str">
        <f aca="false">IF(A31="","",IF(AND(I31&lt;&gt;"",I31&lt;=30),"Renovar a licença",IF(AND(K31&lt;&gt;"",K31&lt;=15),"Renovar o token","")))</f>
        <v/>
      </c>
      <c r="M31" s="15"/>
      <c r="N31" s="15"/>
    </row>
    <row r="32" customFormat="false" ht="15" hidden="false" customHeight="false" outlineLevel="0" collapsed="false">
      <c r="A32" s="15"/>
      <c r="B32" s="15"/>
      <c r="C32" s="15"/>
      <c r="D32" s="15"/>
      <c r="E32" s="14"/>
      <c r="F32" s="14"/>
      <c r="G32" s="23"/>
      <c r="H32" s="25" t="str">
        <f aca="false">IF(G32="","",IF(D32="Anual",G32*10,G32*12))</f>
        <v/>
      </c>
      <c r="I32" s="17" t="str">
        <f aca="true">IF(F32="","",F32-TODAY())</f>
        <v/>
      </c>
      <c r="J32" s="14"/>
      <c r="K32" s="17" t="str">
        <f aca="true">IF(J32="","",J32-TODAY())</f>
        <v/>
      </c>
      <c r="L32" s="22" t="str">
        <f aca="false">IF(A32="","",IF(AND(I32&lt;&gt;"",I32&lt;=30),"Renovar a licença",IF(AND(K32&lt;&gt;"",K32&lt;=15),"Renovar o token","")))</f>
        <v/>
      </c>
      <c r="M32" s="15"/>
      <c r="N32" s="15"/>
    </row>
    <row r="33" customFormat="false" ht="15" hidden="false" customHeight="false" outlineLevel="0" collapsed="false">
      <c r="A33" s="15"/>
      <c r="B33" s="15"/>
      <c r="C33" s="15"/>
      <c r="D33" s="15"/>
      <c r="E33" s="14"/>
      <c r="F33" s="14"/>
      <c r="G33" s="23"/>
      <c r="H33" s="25" t="str">
        <f aca="false">IF(G33="","",IF(D33="Anual",G33*10,G33*12))</f>
        <v/>
      </c>
      <c r="I33" s="17" t="str">
        <f aca="true">IF(F33="","",F33-TODAY())</f>
        <v/>
      </c>
      <c r="J33" s="14"/>
      <c r="K33" s="17" t="str">
        <f aca="true">IF(J33="","",J33-TODAY())</f>
        <v/>
      </c>
      <c r="L33" s="22" t="str">
        <f aca="false">IF(A33="","",IF(AND(I33&lt;&gt;"",I33&lt;=30),"Renovar a licença",IF(AND(K33&lt;&gt;"",K33&lt;=15),"Renovar o token","")))</f>
        <v/>
      </c>
      <c r="M33" s="15"/>
      <c r="N33" s="15"/>
    </row>
    <row r="34" customFormat="false" ht="15" hidden="false" customHeight="false" outlineLevel="0" collapsed="false">
      <c r="A34" s="15"/>
      <c r="B34" s="15"/>
      <c r="C34" s="15"/>
      <c r="D34" s="15"/>
      <c r="E34" s="14"/>
      <c r="F34" s="14"/>
      <c r="G34" s="23"/>
      <c r="H34" s="25" t="str">
        <f aca="false">IF(G34="","",IF(D34="Anual",G34*10,G34*12))</f>
        <v/>
      </c>
      <c r="I34" s="17" t="str">
        <f aca="true">IF(F34="","",F34-TODAY())</f>
        <v/>
      </c>
      <c r="J34" s="14"/>
      <c r="K34" s="17" t="str">
        <f aca="true">IF(J34="","",J34-TODAY())</f>
        <v/>
      </c>
      <c r="L34" s="22" t="str">
        <f aca="false">IF(A34="","",IF(AND(I34&lt;&gt;"",I34&lt;=30),"Renovar a licença",IF(AND(K34&lt;&gt;"",K34&lt;=15),"Renovar o token","")))</f>
        <v/>
      </c>
      <c r="M34" s="15"/>
      <c r="N34" s="15"/>
    </row>
    <row r="35" customFormat="false" ht="15" hidden="false" customHeight="false" outlineLevel="0" collapsed="false">
      <c r="A35" s="15"/>
      <c r="B35" s="15"/>
      <c r="C35" s="15"/>
      <c r="D35" s="15"/>
      <c r="E35" s="14"/>
      <c r="F35" s="14"/>
      <c r="G35" s="23"/>
      <c r="H35" s="25" t="str">
        <f aca="false">IF(G35="","",IF(D35="Anual",G35*10,G35*12))</f>
        <v/>
      </c>
      <c r="I35" s="17" t="str">
        <f aca="true">IF(F35="","",F35-TODAY())</f>
        <v/>
      </c>
      <c r="J35" s="14"/>
      <c r="K35" s="17" t="str">
        <f aca="true">IF(J35="","",J35-TODAY())</f>
        <v/>
      </c>
      <c r="L35" s="22" t="str">
        <f aca="false">IF(A35="","",IF(AND(I35&lt;&gt;"",I35&lt;=30),"Renovar a licença",IF(AND(K35&lt;&gt;"",K35&lt;=15),"Renovar o token","")))</f>
        <v/>
      </c>
      <c r="M35" s="15"/>
      <c r="N35" s="15"/>
    </row>
    <row r="36" customFormat="false" ht="15" hidden="false" customHeight="false" outlineLevel="0" collapsed="false">
      <c r="A36" s="15"/>
      <c r="B36" s="15"/>
      <c r="C36" s="15"/>
      <c r="D36" s="15"/>
      <c r="E36" s="14"/>
      <c r="F36" s="14"/>
      <c r="G36" s="23"/>
      <c r="H36" s="25" t="str">
        <f aca="false">IF(G36="","",IF(D36="Anual",G36*10,G36*12))</f>
        <v/>
      </c>
      <c r="I36" s="17" t="str">
        <f aca="true">IF(F36="","",F36-TODAY())</f>
        <v/>
      </c>
      <c r="J36" s="14"/>
      <c r="K36" s="17" t="str">
        <f aca="true">IF(J36="","",J36-TODAY())</f>
        <v/>
      </c>
      <c r="L36" s="22" t="str">
        <f aca="false">IF(A36="","",IF(AND(I36&lt;&gt;"",I36&lt;=30),"Renovar a licença",IF(AND(K36&lt;&gt;"",K36&lt;=15),"Renovar o token","")))</f>
        <v/>
      </c>
      <c r="M36" s="15"/>
      <c r="N36" s="15"/>
    </row>
    <row r="37" customFormat="false" ht="15" hidden="false" customHeight="false" outlineLevel="0" collapsed="false">
      <c r="A37" s="15"/>
      <c r="B37" s="15"/>
      <c r="C37" s="15"/>
      <c r="D37" s="15"/>
      <c r="E37" s="14"/>
      <c r="F37" s="14"/>
      <c r="G37" s="23"/>
      <c r="H37" s="25" t="str">
        <f aca="false">IF(G37="","",IF(D37="Anual",G37*10,G37*12))</f>
        <v/>
      </c>
      <c r="I37" s="17" t="str">
        <f aca="true">IF(F37="","",F37-TODAY())</f>
        <v/>
      </c>
      <c r="J37" s="14"/>
      <c r="K37" s="17" t="str">
        <f aca="true">IF(J37="","",J37-TODAY())</f>
        <v/>
      </c>
      <c r="L37" s="22" t="str">
        <f aca="false">IF(A37="","",IF(AND(I37&lt;&gt;"",I37&lt;=30),"Renovar a licença",IF(AND(K37&lt;&gt;"",K37&lt;=15),"Renovar o token","")))</f>
        <v/>
      </c>
      <c r="M37" s="15"/>
      <c r="N37" s="15"/>
    </row>
    <row r="38" customFormat="false" ht="15" hidden="false" customHeight="false" outlineLevel="0" collapsed="false">
      <c r="A38" s="15"/>
      <c r="B38" s="15"/>
      <c r="C38" s="15"/>
      <c r="D38" s="15"/>
      <c r="E38" s="14"/>
      <c r="F38" s="14"/>
      <c r="G38" s="23"/>
      <c r="H38" s="25" t="str">
        <f aca="false">IF(G38="","",IF(D38="Anual",G38*10,G38*12))</f>
        <v/>
      </c>
      <c r="I38" s="17" t="str">
        <f aca="true">IF(F38="","",F38-TODAY())</f>
        <v/>
      </c>
      <c r="J38" s="14"/>
      <c r="K38" s="17" t="str">
        <f aca="true">IF(J38="","",J38-TODAY())</f>
        <v/>
      </c>
      <c r="L38" s="22" t="str">
        <f aca="false">IF(A38="","",IF(AND(I38&lt;&gt;"",I38&lt;=30),"Renovar a licença",IF(AND(K38&lt;&gt;"",K38&lt;=15),"Renovar o token","")))</f>
        <v/>
      </c>
      <c r="M38" s="15"/>
      <c r="N38" s="15"/>
    </row>
    <row r="39" customFormat="false" ht="15" hidden="false" customHeight="false" outlineLevel="0" collapsed="false">
      <c r="A39" s="15"/>
      <c r="B39" s="15"/>
      <c r="C39" s="15"/>
      <c r="D39" s="15"/>
      <c r="E39" s="14"/>
      <c r="F39" s="14"/>
      <c r="G39" s="23"/>
      <c r="H39" s="25" t="str">
        <f aca="false">IF(G39="","",IF(D39="Anual",G39*10,G39*12))</f>
        <v/>
      </c>
      <c r="I39" s="17" t="str">
        <f aca="true">IF(F39="","",F39-TODAY())</f>
        <v/>
      </c>
      <c r="J39" s="14"/>
      <c r="K39" s="17" t="str">
        <f aca="true">IF(J39="","",J39-TODAY())</f>
        <v/>
      </c>
      <c r="L39" s="22" t="str">
        <f aca="false">IF(A39="","",IF(AND(I39&lt;&gt;"",I39&lt;=30),"Renovar a licença",IF(AND(K39&lt;&gt;"",K39&lt;=15),"Renovar o token","")))</f>
        <v/>
      </c>
      <c r="M39" s="15"/>
      <c r="N39" s="15"/>
    </row>
    <row r="40" customFormat="false" ht="15" hidden="false" customHeight="false" outlineLevel="0" collapsed="false">
      <c r="A40" s="15"/>
      <c r="B40" s="15"/>
      <c r="C40" s="15"/>
      <c r="D40" s="15"/>
      <c r="E40" s="14"/>
      <c r="F40" s="14"/>
      <c r="G40" s="23"/>
      <c r="H40" s="25" t="str">
        <f aca="false">IF(G40="","",IF(D40="Anual",G40*10,G40*12))</f>
        <v/>
      </c>
      <c r="I40" s="17" t="str">
        <f aca="true">IF(F40="","",F40-TODAY())</f>
        <v/>
      </c>
      <c r="J40" s="14"/>
      <c r="K40" s="17" t="str">
        <f aca="true">IF(J40="","",J40-TODAY())</f>
        <v/>
      </c>
      <c r="L40" s="22" t="str">
        <f aca="false">IF(A40="","",IF(AND(I40&lt;&gt;"",I40&lt;=30),"Renovar a licença",IF(AND(K40&lt;&gt;"",K40&lt;=15),"Renovar o token","")))</f>
        <v/>
      </c>
      <c r="M40" s="15"/>
      <c r="N40" s="15"/>
    </row>
    <row r="41" customFormat="false" ht="15" hidden="false" customHeight="false" outlineLevel="0" collapsed="false">
      <c r="A41" s="15"/>
      <c r="B41" s="15"/>
      <c r="C41" s="15"/>
      <c r="D41" s="15"/>
      <c r="E41" s="14"/>
      <c r="F41" s="14"/>
      <c r="G41" s="23"/>
      <c r="H41" s="25" t="str">
        <f aca="false">IF(G41="","",IF(D41="Anual",G41*10,G41*12))</f>
        <v/>
      </c>
      <c r="I41" s="17" t="str">
        <f aca="true">IF(F41="","",F41-TODAY())</f>
        <v/>
      </c>
      <c r="J41" s="14"/>
      <c r="K41" s="17" t="str">
        <f aca="true">IF(J41="","",J41-TODAY())</f>
        <v/>
      </c>
      <c r="L41" s="22" t="str">
        <f aca="false">IF(A41="","",IF(AND(I41&lt;&gt;"",I41&lt;=30),"Renovar a licença",IF(AND(K41&lt;&gt;"",K41&lt;=15),"Renovar o token","")))</f>
        <v/>
      </c>
      <c r="M41" s="15"/>
      <c r="N41" s="15"/>
    </row>
    <row r="42" customFormat="false" ht="15" hidden="false" customHeight="false" outlineLevel="0" collapsed="false">
      <c r="A42" s="15"/>
      <c r="B42" s="15"/>
      <c r="C42" s="15"/>
      <c r="D42" s="15"/>
      <c r="E42" s="14"/>
      <c r="F42" s="14"/>
      <c r="G42" s="23"/>
      <c r="H42" s="25" t="str">
        <f aca="false">IF(G42="","",IF(D42="Anual",G42*10,G42*12))</f>
        <v/>
      </c>
      <c r="I42" s="17" t="str">
        <f aca="true">IF(F42="","",F42-TODAY())</f>
        <v/>
      </c>
      <c r="J42" s="14"/>
      <c r="K42" s="17" t="str">
        <f aca="true">IF(J42="","",J42-TODAY())</f>
        <v/>
      </c>
      <c r="L42" s="22" t="str">
        <f aca="false">IF(A42="","",IF(AND(I42&lt;&gt;"",I42&lt;=30),"Renovar a licença",IF(AND(K42&lt;&gt;"",K42&lt;=15),"Renovar o token","")))</f>
        <v/>
      </c>
      <c r="M42" s="15"/>
      <c r="N42" s="15"/>
    </row>
    <row r="43" customFormat="false" ht="15" hidden="false" customHeight="false" outlineLevel="0" collapsed="false">
      <c r="A43" s="15"/>
      <c r="B43" s="15"/>
      <c r="C43" s="15"/>
      <c r="D43" s="15"/>
      <c r="E43" s="14"/>
      <c r="F43" s="14"/>
      <c r="G43" s="23"/>
      <c r="H43" s="25" t="str">
        <f aca="false">IF(G43="","",IF(D43="Anual",G43*10,G43*12))</f>
        <v/>
      </c>
      <c r="I43" s="17" t="str">
        <f aca="true">IF(F43="","",F43-TODAY())</f>
        <v/>
      </c>
      <c r="J43" s="14"/>
      <c r="K43" s="17" t="str">
        <f aca="true">IF(J43="","",J43-TODAY())</f>
        <v/>
      </c>
      <c r="L43" s="22" t="str">
        <f aca="false">IF(A43="","",IF(AND(I43&lt;&gt;"",I43&lt;=30),"Renovar a licença",IF(AND(K43&lt;&gt;"",K43&lt;=15),"Renovar o token","")))</f>
        <v/>
      </c>
      <c r="M43" s="15"/>
      <c r="N43" s="15"/>
    </row>
    <row r="44" customFormat="false" ht="15" hidden="false" customHeight="false" outlineLevel="0" collapsed="false">
      <c r="A44" s="15"/>
      <c r="B44" s="15"/>
      <c r="C44" s="15"/>
      <c r="D44" s="15"/>
      <c r="E44" s="14"/>
      <c r="F44" s="14"/>
      <c r="G44" s="23"/>
      <c r="H44" s="25" t="str">
        <f aca="false">IF(G44="","",IF(D44="Anual",G44*10,G44*12))</f>
        <v/>
      </c>
      <c r="I44" s="17" t="str">
        <f aca="true">IF(F44="","",F44-TODAY())</f>
        <v/>
      </c>
      <c r="J44" s="14"/>
      <c r="K44" s="17" t="str">
        <f aca="true">IF(J44="","",J44-TODAY())</f>
        <v/>
      </c>
      <c r="L44" s="22" t="str">
        <f aca="false">IF(A44="","",IF(AND(I44&lt;&gt;"",I44&lt;=30),"Renovar a licença",IF(AND(K44&lt;&gt;"",K44&lt;=15),"Renovar o token","")))</f>
        <v/>
      </c>
      <c r="M44" s="15"/>
      <c r="N44" s="15"/>
    </row>
    <row r="45" customFormat="false" ht="15" hidden="false" customHeight="false" outlineLevel="0" collapsed="false">
      <c r="A45" s="15"/>
      <c r="B45" s="15"/>
      <c r="C45" s="15"/>
      <c r="D45" s="15"/>
      <c r="E45" s="14"/>
      <c r="F45" s="14"/>
      <c r="G45" s="23"/>
      <c r="H45" s="25" t="str">
        <f aca="false">IF(G45="","",IF(D45="Anual",G45*10,G45*12))</f>
        <v/>
      </c>
      <c r="I45" s="17" t="str">
        <f aca="true">IF(F45="","",F45-TODAY())</f>
        <v/>
      </c>
      <c r="J45" s="14"/>
      <c r="K45" s="17" t="str">
        <f aca="true">IF(J45="","",J45-TODAY())</f>
        <v/>
      </c>
      <c r="L45" s="22" t="str">
        <f aca="false">IF(A45="","",IF(AND(I45&lt;&gt;"",I45&lt;=30),"Renovar a licença",IF(AND(K45&lt;&gt;"",K45&lt;=15),"Renovar o token","")))</f>
        <v/>
      </c>
      <c r="M45" s="15"/>
      <c r="N45" s="15"/>
    </row>
    <row r="46" customFormat="false" ht="15" hidden="false" customHeight="false" outlineLevel="0" collapsed="false">
      <c r="A46" s="15"/>
      <c r="B46" s="15"/>
      <c r="C46" s="15"/>
      <c r="D46" s="15"/>
      <c r="E46" s="14"/>
      <c r="F46" s="14"/>
      <c r="G46" s="23"/>
      <c r="H46" s="25" t="str">
        <f aca="false">IF(G46="","",IF(D46="Anual",G46*10,G46*12))</f>
        <v/>
      </c>
      <c r="I46" s="17" t="str">
        <f aca="true">IF(F46="","",F46-TODAY())</f>
        <v/>
      </c>
      <c r="J46" s="14"/>
      <c r="K46" s="17" t="str">
        <f aca="true">IF(J46="","",J46-TODAY())</f>
        <v/>
      </c>
      <c r="L46" s="22" t="str">
        <f aca="false">IF(A46="","",IF(AND(I46&lt;&gt;"",I46&lt;=30),"Renovar a licença",IF(AND(K46&lt;&gt;"",K46&lt;=15),"Renovar o token","")))</f>
        <v/>
      </c>
      <c r="M46" s="15"/>
      <c r="N46" s="15"/>
    </row>
    <row r="47" customFormat="false" ht="15" hidden="false" customHeight="false" outlineLevel="0" collapsed="false">
      <c r="A47" s="15"/>
      <c r="B47" s="15"/>
      <c r="C47" s="15"/>
      <c r="D47" s="15"/>
      <c r="E47" s="14"/>
      <c r="F47" s="14"/>
      <c r="G47" s="23"/>
      <c r="H47" s="25" t="str">
        <f aca="false">IF(G47="","",IF(D47="Anual",G47*10,G47*12))</f>
        <v/>
      </c>
      <c r="I47" s="17" t="str">
        <f aca="true">IF(F47="","",F47-TODAY())</f>
        <v/>
      </c>
      <c r="J47" s="14"/>
      <c r="K47" s="17" t="str">
        <f aca="true">IF(J47="","",J47-TODAY())</f>
        <v/>
      </c>
      <c r="L47" s="22" t="str">
        <f aca="false">IF(A47="","",IF(AND(I47&lt;&gt;"",I47&lt;=30),"Renovar a licença",IF(AND(K47&lt;&gt;"",K47&lt;=15),"Renovar o token","")))</f>
        <v/>
      </c>
      <c r="M47" s="15"/>
      <c r="N47" s="15"/>
    </row>
    <row r="48" customFormat="false" ht="15" hidden="false" customHeight="false" outlineLevel="0" collapsed="false">
      <c r="A48" s="15"/>
      <c r="B48" s="15"/>
      <c r="C48" s="15"/>
      <c r="D48" s="15"/>
      <c r="E48" s="14"/>
      <c r="F48" s="14"/>
      <c r="G48" s="23"/>
      <c r="H48" s="25" t="str">
        <f aca="false">IF(G48="","",IF(D48="Anual",G48*10,G48*12))</f>
        <v/>
      </c>
      <c r="I48" s="17" t="str">
        <f aca="true">IF(F48="","",F48-TODAY())</f>
        <v/>
      </c>
      <c r="J48" s="14"/>
      <c r="K48" s="17" t="str">
        <f aca="true">IF(J48="","",J48-TODAY())</f>
        <v/>
      </c>
      <c r="L48" s="22" t="str">
        <f aca="false">IF(A48="","",IF(AND(I48&lt;&gt;"",I48&lt;=30),"Renovar a licença",IF(AND(K48&lt;&gt;"",K48&lt;=15),"Renovar o token","")))</f>
        <v/>
      </c>
      <c r="M48" s="15"/>
      <c r="N48" s="15"/>
    </row>
    <row r="49" customFormat="false" ht="15" hidden="false" customHeight="false" outlineLevel="0" collapsed="false">
      <c r="A49" s="15"/>
      <c r="B49" s="15"/>
      <c r="C49" s="15"/>
      <c r="D49" s="15"/>
      <c r="E49" s="14"/>
      <c r="F49" s="14"/>
      <c r="G49" s="23"/>
      <c r="H49" s="25" t="str">
        <f aca="false">IF(G49="","",IF(D49="Anual",G49*10,G49*12))</f>
        <v/>
      </c>
      <c r="I49" s="17" t="str">
        <f aca="true">IF(F49="","",F49-TODAY())</f>
        <v/>
      </c>
      <c r="J49" s="14"/>
      <c r="K49" s="17" t="str">
        <f aca="true">IF(J49="","",J49-TODAY())</f>
        <v/>
      </c>
      <c r="L49" s="22" t="str">
        <f aca="false">IF(A49="","",IF(AND(I49&lt;&gt;"",I49&lt;=30),"Renovar a licença",IF(AND(K49&lt;&gt;"",K49&lt;=15),"Renovar o token","")))</f>
        <v/>
      </c>
      <c r="M49" s="15"/>
      <c r="N49" s="15"/>
    </row>
    <row r="50" customFormat="false" ht="15" hidden="false" customHeight="false" outlineLevel="0" collapsed="false">
      <c r="A50" s="15"/>
      <c r="B50" s="15"/>
      <c r="C50" s="15"/>
      <c r="D50" s="15"/>
      <c r="E50" s="14"/>
      <c r="F50" s="14"/>
      <c r="G50" s="23"/>
      <c r="H50" s="25" t="str">
        <f aca="false">IF(G50="","",IF(D50="Anual",G50*10,G50*12))</f>
        <v/>
      </c>
      <c r="I50" s="17" t="str">
        <f aca="true">IF(F50="","",F50-TODAY())</f>
        <v/>
      </c>
      <c r="J50" s="14"/>
      <c r="K50" s="17" t="str">
        <f aca="true">IF(J50="","",J50-TODAY())</f>
        <v/>
      </c>
      <c r="L50" s="22" t="str">
        <f aca="false">IF(A50="","",IF(AND(I50&lt;&gt;"",I50&lt;=30),"Renovar a licença",IF(AND(K50&lt;&gt;"",K50&lt;=15),"Renovar o token","")))</f>
        <v/>
      </c>
      <c r="M50" s="15"/>
      <c r="N50" s="15"/>
    </row>
    <row r="51" customFormat="false" ht="15" hidden="false" customHeight="false" outlineLevel="0" collapsed="false">
      <c r="A51" s="15"/>
      <c r="B51" s="15"/>
      <c r="C51" s="15"/>
      <c r="D51" s="15"/>
      <c r="E51" s="14"/>
      <c r="F51" s="14"/>
      <c r="G51" s="23"/>
      <c r="H51" s="25" t="str">
        <f aca="false">IF(G51="","",IF(D51="Anual",G51*10,G51*12))</f>
        <v/>
      </c>
      <c r="I51" s="17" t="str">
        <f aca="true">IF(F51="","",F51-TODAY())</f>
        <v/>
      </c>
      <c r="J51" s="14"/>
      <c r="K51" s="17" t="str">
        <f aca="true">IF(J51="","",J51-TODAY())</f>
        <v/>
      </c>
      <c r="L51" s="22" t="str">
        <f aca="false">IF(A51="","",IF(AND(I51&lt;&gt;"",I51&lt;=30),"Renovar a licença",IF(AND(K51&lt;&gt;"",K51&lt;=15),"Renovar o token","")))</f>
        <v/>
      </c>
      <c r="M51" s="15"/>
      <c r="N51" s="15"/>
    </row>
    <row r="52" customFormat="false" ht="15" hidden="false" customHeight="false" outlineLevel="0" collapsed="false">
      <c r="A52" s="15"/>
      <c r="B52" s="15"/>
      <c r="C52" s="15"/>
      <c r="D52" s="15"/>
      <c r="E52" s="14"/>
      <c r="F52" s="14"/>
      <c r="G52" s="23"/>
      <c r="H52" s="25" t="str">
        <f aca="false">IF(G52="","",IF(D52="Anual",G52*10,G52*12))</f>
        <v/>
      </c>
      <c r="I52" s="17" t="str">
        <f aca="true">IF(F52="","",F52-TODAY())</f>
        <v/>
      </c>
      <c r="J52" s="14"/>
      <c r="K52" s="17" t="str">
        <f aca="true">IF(J52="","",J52-TODAY())</f>
        <v/>
      </c>
      <c r="L52" s="22" t="str">
        <f aca="false">IF(A52="","",IF(AND(I52&lt;&gt;"",I52&lt;=30),"Renovar a licença",IF(AND(K52&lt;&gt;"",K52&lt;=15),"Renovar o token","")))</f>
        <v/>
      </c>
      <c r="M52" s="15"/>
      <c r="N52" s="15"/>
    </row>
    <row r="53" customFormat="false" ht="15" hidden="false" customHeight="false" outlineLevel="0" collapsed="false">
      <c r="A53" s="15"/>
      <c r="B53" s="15"/>
      <c r="C53" s="15"/>
      <c r="D53" s="15"/>
      <c r="E53" s="14"/>
      <c r="F53" s="14"/>
      <c r="G53" s="23"/>
      <c r="H53" s="25" t="str">
        <f aca="false">IF(G53="","",IF(D53="Anual",G53*10,G53*12))</f>
        <v/>
      </c>
      <c r="I53" s="17" t="str">
        <f aca="true">IF(F53="","",F53-TODAY())</f>
        <v/>
      </c>
      <c r="J53" s="14"/>
      <c r="K53" s="17" t="str">
        <f aca="true">IF(J53="","",J53-TODAY())</f>
        <v/>
      </c>
      <c r="L53" s="22" t="str">
        <f aca="false">IF(A53="","",IF(AND(I53&lt;&gt;"",I53&lt;=30),"Renovar a licença",IF(AND(K53&lt;&gt;"",K53&lt;=15),"Renovar o token","")))</f>
        <v/>
      </c>
      <c r="M53" s="15"/>
      <c r="N53" s="15"/>
    </row>
    <row r="54" customFormat="false" ht="15" hidden="false" customHeight="false" outlineLevel="0" collapsed="false">
      <c r="A54" s="15"/>
      <c r="B54" s="15"/>
      <c r="C54" s="15"/>
      <c r="D54" s="15"/>
      <c r="E54" s="14"/>
      <c r="F54" s="14"/>
      <c r="G54" s="23"/>
      <c r="H54" s="25" t="str">
        <f aca="false">IF(G54="","",IF(D54="Anual",G54*10,G54*12))</f>
        <v/>
      </c>
      <c r="I54" s="17" t="str">
        <f aca="true">IF(F54="","",F54-TODAY())</f>
        <v/>
      </c>
      <c r="J54" s="14"/>
      <c r="K54" s="17" t="str">
        <f aca="true">IF(J54="","",J54-TODAY())</f>
        <v/>
      </c>
      <c r="L54" s="22" t="str">
        <f aca="false">IF(A54="","",IF(AND(I54&lt;&gt;"",I54&lt;=30),"Renovar a licença",IF(AND(K54&lt;&gt;"",K54&lt;=15),"Renovar o token","")))</f>
        <v/>
      </c>
      <c r="M54" s="15"/>
      <c r="N54" s="15"/>
    </row>
    <row r="55" customFormat="false" ht="15" hidden="false" customHeight="false" outlineLevel="0" collapsed="false">
      <c r="A55" s="15"/>
      <c r="B55" s="15"/>
      <c r="C55" s="15"/>
      <c r="D55" s="15"/>
      <c r="E55" s="14"/>
      <c r="F55" s="14"/>
      <c r="G55" s="23"/>
      <c r="H55" s="25" t="str">
        <f aca="false">IF(G55="","",IF(D55="Anual",G55*10,G55*12))</f>
        <v/>
      </c>
      <c r="I55" s="17" t="str">
        <f aca="true">IF(F55="","",F55-TODAY())</f>
        <v/>
      </c>
      <c r="J55" s="14"/>
      <c r="K55" s="17" t="str">
        <f aca="true">IF(J55="","",J55-TODAY())</f>
        <v/>
      </c>
      <c r="L55" s="22" t="str">
        <f aca="false">IF(A55="","",IF(AND(I55&lt;&gt;"",I55&lt;=30),"Renovar a licença",IF(AND(K55&lt;&gt;"",K55&lt;=15),"Renovar o token","")))</f>
        <v/>
      </c>
      <c r="M55" s="15"/>
      <c r="N55" s="15"/>
    </row>
    <row r="56" customFormat="false" ht="15" hidden="false" customHeight="false" outlineLevel="0" collapsed="false">
      <c r="A56" s="15"/>
      <c r="B56" s="15"/>
      <c r="C56" s="15"/>
      <c r="D56" s="15"/>
      <c r="E56" s="14"/>
      <c r="F56" s="14"/>
      <c r="G56" s="23"/>
      <c r="H56" s="25" t="str">
        <f aca="false">IF(G56="","",IF(D56="Anual",G56*10,G56*12))</f>
        <v/>
      </c>
      <c r="I56" s="17" t="str">
        <f aca="true">IF(F56="","",F56-TODAY())</f>
        <v/>
      </c>
      <c r="J56" s="14"/>
      <c r="K56" s="17" t="str">
        <f aca="true">IF(J56="","",J56-TODAY())</f>
        <v/>
      </c>
      <c r="L56" s="22" t="str">
        <f aca="false">IF(A56="","",IF(AND(I56&lt;&gt;"",I56&lt;=30),"Renovar a licença",IF(AND(K56&lt;&gt;"",K56&lt;=15),"Renovar o token","")))</f>
        <v/>
      </c>
      <c r="M56" s="15"/>
      <c r="N56" s="15"/>
    </row>
    <row r="57" customFormat="false" ht="15" hidden="false" customHeight="false" outlineLevel="0" collapsed="false">
      <c r="A57" s="15"/>
      <c r="B57" s="15"/>
      <c r="C57" s="15"/>
      <c r="D57" s="15"/>
      <c r="E57" s="14"/>
      <c r="F57" s="14"/>
      <c r="G57" s="23"/>
      <c r="H57" s="25" t="str">
        <f aca="false">IF(G57="","",IF(D57="Anual",G57*10,G57*12))</f>
        <v/>
      </c>
      <c r="I57" s="17" t="str">
        <f aca="true">IF(F57="","",F57-TODAY())</f>
        <v/>
      </c>
      <c r="J57" s="14"/>
      <c r="K57" s="17" t="str">
        <f aca="true">IF(J57="","",J57-TODAY())</f>
        <v/>
      </c>
      <c r="L57" s="22" t="str">
        <f aca="false">IF(A57="","",IF(AND(I57&lt;&gt;"",I57&lt;=30),"Renovar a licença",IF(AND(K57&lt;&gt;"",K57&lt;=15),"Renovar o token","")))</f>
        <v/>
      </c>
      <c r="M57" s="15"/>
      <c r="N57" s="15"/>
    </row>
    <row r="58" customFormat="false" ht="15" hidden="false" customHeight="false" outlineLevel="0" collapsed="false">
      <c r="A58" s="15"/>
      <c r="B58" s="15"/>
      <c r="C58" s="15"/>
      <c r="D58" s="15"/>
      <c r="E58" s="14"/>
      <c r="F58" s="14"/>
      <c r="G58" s="23"/>
      <c r="H58" s="25" t="str">
        <f aca="false">IF(G58="","",IF(D58="Anual",G58*10,G58*12))</f>
        <v/>
      </c>
      <c r="I58" s="17" t="str">
        <f aca="true">IF(F58="","",F58-TODAY())</f>
        <v/>
      </c>
      <c r="J58" s="14"/>
      <c r="K58" s="17" t="str">
        <f aca="true">IF(J58="","",J58-TODAY())</f>
        <v/>
      </c>
      <c r="L58" s="22" t="str">
        <f aca="false">IF(A58="","",IF(AND(I58&lt;&gt;"",I58&lt;=30),"Renovar a licença",IF(AND(K58&lt;&gt;"",K58&lt;=15),"Renovar o token","")))</f>
        <v/>
      </c>
      <c r="M58" s="15"/>
      <c r="N58" s="15"/>
    </row>
    <row r="59" customFormat="false" ht="15" hidden="false" customHeight="false" outlineLevel="0" collapsed="false">
      <c r="A59" s="15"/>
      <c r="B59" s="15"/>
      <c r="C59" s="15"/>
      <c r="D59" s="15"/>
      <c r="E59" s="14"/>
      <c r="F59" s="14"/>
      <c r="G59" s="23"/>
      <c r="H59" s="25" t="str">
        <f aca="false">IF(G59="","",IF(D59="Anual",G59*10,G59*12))</f>
        <v/>
      </c>
      <c r="I59" s="17" t="str">
        <f aca="true">IF(F59="","",F59-TODAY())</f>
        <v/>
      </c>
      <c r="J59" s="14"/>
      <c r="K59" s="17" t="str">
        <f aca="true">IF(J59="","",J59-TODAY())</f>
        <v/>
      </c>
      <c r="L59" s="22" t="str">
        <f aca="false">IF(A59="","",IF(AND(I59&lt;&gt;"",I59&lt;=30),"Renovar a licença",IF(AND(K59&lt;&gt;"",K59&lt;=15),"Renovar o token","")))</f>
        <v/>
      </c>
      <c r="M59" s="15"/>
      <c r="N59" s="15"/>
    </row>
    <row r="60" customFormat="false" ht="15" hidden="false" customHeight="false" outlineLevel="0" collapsed="false">
      <c r="A60" s="15"/>
      <c r="B60" s="15"/>
      <c r="C60" s="15"/>
      <c r="D60" s="15"/>
      <c r="E60" s="14"/>
      <c r="F60" s="14"/>
      <c r="G60" s="23"/>
      <c r="H60" s="25" t="str">
        <f aca="false">IF(G60="","",IF(D60="Anual",G60*10,G60*12))</f>
        <v/>
      </c>
      <c r="I60" s="17" t="str">
        <f aca="true">IF(F60="","",F60-TODAY())</f>
        <v/>
      </c>
      <c r="J60" s="14"/>
      <c r="K60" s="17" t="str">
        <f aca="true">IF(J60="","",J60-TODAY())</f>
        <v/>
      </c>
      <c r="L60" s="22" t="str">
        <f aca="false">IF(A60="","",IF(AND(I60&lt;&gt;"",I60&lt;=30),"Renovar a licença",IF(AND(K60&lt;&gt;"",K60&lt;=15),"Renovar o token","")))</f>
        <v/>
      </c>
      <c r="M60" s="15"/>
      <c r="N60" s="15"/>
    </row>
    <row r="61" customFormat="false" ht="15" hidden="false" customHeight="false" outlineLevel="0" collapsed="false">
      <c r="A61" s="15"/>
      <c r="B61" s="15"/>
      <c r="C61" s="15"/>
      <c r="D61" s="15"/>
      <c r="E61" s="14"/>
      <c r="F61" s="14"/>
      <c r="G61" s="23"/>
      <c r="H61" s="25" t="str">
        <f aca="false">IF(G61="","",IF(D61="Anual",G61*10,G61*12))</f>
        <v/>
      </c>
      <c r="I61" s="17" t="str">
        <f aca="true">IF(F61="","",F61-TODAY())</f>
        <v/>
      </c>
      <c r="J61" s="14"/>
      <c r="K61" s="17" t="str">
        <f aca="true">IF(J61="","",J61-TODAY())</f>
        <v/>
      </c>
      <c r="L61" s="22" t="str">
        <f aca="false">IF(A61="","",IF(AND(I61&lt;&gt;"",I61&lt;=30),"Renovar a licença",IF(AND(K61&lt;&gt;"",K61&lt;=15),"Renovar o token","")))</f>
        <v/>
      </c>
      <c r="M61" s="15"/>
      <c r="N61" s="15"/>
    </row>
    <row r="62" customFormat="false" ht="15" hidden="false" customHeight="false" outlineLevel="0" collapsed="false">
      <c r="A62" s="15"/>
      <c r="B62" s="15"/>
      <c r="C62" s="15"/>
      <c r="D62" s="15"/>
      <c r="E62" s="14"/>
      <c r="F62" s="14"/>
      <c r="G62" s="23"/>
      <c r="H62" s="25" t="str">
        <f aca="false">IF(G62="","",IF(D62="Anual",G62*10,G62*12))</f>
        <v/>
      </c>
      <c r="I62" s="17" t="str">
        <f aca="true">IF(F62="","",F62-TODAY())</f>
        <v/>
      </c>
      <c r="J62" s="14"/>
      <c r="K62" s="17" t="str">
        <f aca="true">IF(J62="","",J62-TODAY())</f>
        <v/>
      </c>
      <c r="L62" s="22" t="str">
        <f aca="false">IF(A62="","",IF(AND(I62&lt;&gt;"",I62&lt;=30),"Renovar a licença",IF(AND(K62&lt;&gt;"",K62&lt;=15),"Renovar o token","")))</f>
        <v/>
      </c>
      <c r="M62" s="15"/>
      <c r="N62" s="15"/>
    </row>
    <row r="63" customFormat="false" ht="15" hidden="false" customHeight="false" outlineLevel="0" collapsed="false">
      <c r="A63" s="15"/>
      <c r="B63" s="15"/>
      <c r="C63" s="15"/>
      <c r="D63" s="15"/>
      <c r="E63" s="14"/>
      <c r="F63" s="14"/>
      <c r="G63" s="23"/>
      <c r="H63" s="25" t="str">
        <f aca="false">IF(G63="","",IF(D63="Anual",G63*10,G63*12))</f>
        <v/>
      </c>
      <c r="I63" s="17" t="str">
        <f aca="true">IF(F63="","",F63-TODAY())</f>
        <v/>
      </c>
      <c r="J63" s="14"/>
      <c r="K63" s="17" t="str">
        <f aca="true">IF(J63="","",J63-TODAY())</f>
        <v/>
      </c>
      <c r="L63" s="22" t="str">
        <f aca="false">IF(A63="","",IF(AND(I63&lt;&gt;"",I63&lt;=30),"Renovar a licença",IF(AND(K63&lt;&gt;"",K63&lt;=15),"Renovar o token","")))</f>
        <v/>
      </c>
      <c r="M63" s="15"/>
      <c r="N63" s="15"/>
    </row>
    <row r="64" customFormat="false" ht="15" hidden="false" customHeight="false" outlineLevel="0" collapsed="false">
      <c r="A64" s="15"/>
      <c r="B64" s="15"/>
      <c r="C64" s="15"/>
      <c r="D64" s="15"/>
      <c r="E64" s="14"/>
      <c r="F64" s="14"/>
      <c r="G64" s="23"/>
      <c r="H64" s="25" t="str">
        <f aca="false">IF(G64="","",IF(D64="Anual",G64*10,G64*12))</f>
        <v/>
      </c>
      <c r="I64" s="17" t="str">
        <f aca="true">IF(F64="","",F64-TODAY())</f>
        <v/>
      </c>
      <c r="J64" s="14"/>
      <c r="K64" s="17" t="str">
        <f aca="true">IF(J64="","",J64-TODAY())</f>
        <v/>
      </c>
      <c r="L64" s="22" t="str">
        <f aca="false">IF(A64="","",IF(AND(I64&lt;&gt;"",I64&lt;=30),"Renovar a licença",IF(AND(K64&lt;&gt;"",K64&lt;=15),"Renovar o token","")))</f>
        <v/>
      </c>
      <c r="M64" s="15"/>
      <c r="N64" s="15"/>
    </row>
    <row r="65" customFormat="false" ht="15" hidden="false" customHeight="false" outlineLevel="0" collapsed="false">
      <c r="A65" s="15"/>
      <c r="B65" s="15"/>
      <c r="C65" s="15"/>
      <c r="D65" s="15"/>
      <c r="E65" s="14"/>
      <c r="F65" s="14"/>
      <c r="G65" s="23"/>
      <c r="H65" s="25" t="str">
        <f aca="false">IF(G65="","",IF(D65="Anual",G65*10,G65*12))</f>
        <v/>
      </c>
      <c r="I65" s="17" t="str">
        <f aca="true">IF(F65="","",F65-TODAY())</f>
        <v/>
      </c>
      <c r="J65" s="14"/>
      <c r="K65" s="17" t="str">
        <f aca="true">IF(J65="","",J65-TODAY())</f>
        <v/>
      </c>
      <c r="L65" s="22" t="str">
        <f aca="false">IF(A65="","",IF(AND(I65&lt;&gt;"",I65&lt;=30),"Renovar a licença",IF(AND(K65&lt;&gt;"",K65&lt;=15),"Renovar o token","")))</f>
        <v/>
      </c>
      <c r="M65" s="15"/>
      <c r="N65" s="15"/>
    </row>
    <row r="66" customFormat="false" ht="15" hidden="false" customHeight="false" outlineLevel="0" collapsed="false">
      <c r="A66" s="15"/>
      <c r="B66" s="15"/>
      <c r="C66" s="15"/>
      <c r="D66" s="15"/>
      <c r="E66" s="14"/>
      <c r="F66" s="14"/>
      <c r="G66" s="23"/>
      <c r="H66" s="25" t="str">
        <f aca="false">IF(G66="","",IF(D66="Anual",G66*10,G66*12))</f>
        <v/>
      </c>
      <c r="I66" s="17" t="str">
        <f aca="true">IF(F66="","",F66-TODAY())</f>
        <v/>
      </c>
      <c r="J66" s="14"/>
      <c r="K66" s="17" t="str">
        <f aca="true">IF(J66="","",J66-TODAY())</f>
        <v/>
      </c>
      <c r="L66" s="22" t="str">
        <f aca="false">IF(A66="","",IF(AND(I66&lt;&gt;"",I66&lt;=30),"Renovar a licença",IF(AND(K66&lt;&gt;"",K66&lt;=15),"Renovar o token","")))</f>
        <v/>
      </c>
      <c r="M66" s="15"/>
      <c r="N66" s="15"/>
    </row>
    <row r="67" customFormat="false" ht="15" hidden="false" customHeight="false" outlineLevel="0" collapsed="false">
      <c r="A67" s="15"/>
      <c r="B67" s="15"/>
      <c r="C67" s="15"/>
      <c r="D67" s="15"/>
      <c r="E67" s="14"/>
      <c r="F67" s="14"/>
      <c r="G67" s="23"/>
      <c r="H67" s="25" t="str">
        <f aca="false">IF(G67="","",IF(D67="Anual",G67*10,G67*12))</f>
        <v/>
      </c>
      <c r="I67" s="17" t="str">
        <f aca="true">IF(F67="","",F67-TODAY())</f>
        <v/>
      </c>
      <c r="J67" s="14"/>
      <c r="K67" s="17" t="str">
        <f aca="true">IF(J67="","",J67-TODAY())</f>
        <v/>
      </c>
      <c r="L67" s="22" t="str">
        <f aca="false">IF(A67="","",IF(AND(I67&lt;&gt;"",I67&lt;=30),"Renovar a licença",IF(AND(K67&lt;&gt;"",K67&lt;=15),"Renovar o token","")))</f>
        <v/>
      </c>
      <c r="M67" s="15"/>
      <c r="N67" s="15"/>
    </row>
    <row r="68" customFormat="false" ht="15" hidden="false" customHeight="false" outlineLevel="0" collapsed="false">
      <c r="A68" s="15"/>
      <c r="B68" s="15"/>
      <c r="C68" s="15"/>
      <c r="D68" s="15"/>
      <c r="E68" s="14"/>
      <c r="F68" s="14"/>
      <c r="G68" s="23"/>
      <c r="H68" s="25" t="str">
        <f aca="false">IF(G68="","",IF(D68="Anual",G68*10,G68*12))</f>
        <v/>
      </c>
      <c r="I68" s="17" t="str">
        <f aca="true">IF(F68="","",F68-TODAY())</f>
        <v/>
      </c>
      <c r="J68" s="14"/>
      <c r="K68" s="17" t="str">
        <f aca="true">IF(J68="","",J68-TODAY())</f>
        <v/>
      </c>
      <c r="L68" s="22" t="str">
        <f aca="false">IF(A68="","",IF(AND(I68&lt;&gt;"",I68&lt;=30),"Renovar a licença",IF(AND(K68&lt;&gt;"",K68&lt;=15),"Renovar o token","")))</f>
        <v/>
      </c>
      <c r="M68" s="15"/>
      <c r="N68" s="15"/>
    </row>
    <row r="69" customFormat="false" ht="15" hidden="false" customHeight="false" outlineLevel="0" collapsed="false">
      <c r="A69" s="15"/>
      <c r="B69" s="15"/>
      <c r="C69" s="15"/>
      <c r="D69" s="15"/>
      <c r="E69" s="14"/>
      <c r="F69" s="14"/>
      <c r="G69" s="23"/>
      <c r="H69" s="25" t="str">
        <f aca="false">IF(G69="","",IF(D69="Anual",G69*10,G69*12))</f>
        <v/>
      </c>
      <c r="I69" s="17" t="str">
        <f aca="true">IF(F69="","",F69-TODAY())</f>
        <v/>
      </c>
      <c r="J69" s="14"/>
      <c r="K69" s="17" t="str">
        <f aca="true">IF(J69="","",J69-TODAY())</f>
        <v/>
      </c>
      <c r="L69" s="22" t="str">
        <f aca="false">IF(A69="","",IF(AND(I69&lt;&gt;"",I69&lt;=30),"Renovar a licença",IF(AND(K69&lt;&gt;"",K69&lt;=15),"Renovar o token","")))</f>
        <v/>
      </c>
      <c r="M69" s="15"/>
      <c r="N69" s="15"/>
    </row>
    <row r="70" customFormat="false" ht="15" hidden="false" customHeight="false" outlineLevel="0" collapsed="false">
      <c r="A70" s="15"/>
      <c r="B70" s="15"/>
      <c r="C70" s="15"/>
      <c r="D70" s="15"/>
      <c r="E70" s="14"/>
      <c r="F70" s="14"/>
      <c r="G70" s="23"/>
      <c r="H70" s="25" t="str">
        <f aca="false">IF(G70="","",IF(D70="Anual",G70*10,G70*12))</f>
        <v/>
      </c>
      <c r="I70" s="17" t="str">
        <f aca="true">IF(F70="","",F70-TODAY())</f>
        <v/>
      </c>
      <c r="J70" s="14"/>
      <c r="K70" s="17" t="str">
        <f aca="true">IF(J70="","",J70-TODAY())</f>
        <v/>
      </c>
      <c r="L70" s="22" t="str">
        <f aca="false">IF(A70="","",IF(AND(I70&lt;&gt;"",I70&lt;=30),"Renovar a licença",IF(AND(K70&lt;&gt;"",K70&lt;=15),"Renovar o token","")))</f>
        <v/>
      </c>
      <c r="M70" s="15"/>
      <c r="N70" s="15"/>
    </row>
    <row r="71" customFormat="false" ht="15" hidden="false" customHeight="false" outlineLevel="0" collapsed="false">
      <c r="A71" s="15"/>
      <c r="B71" s="15"/>
      <c r="C71" s="15"/>
      <c r="D71" s="15"/>
      <c r="E71" s="14"/>
      <c r="F71" s="14"/>
      <c r="G71" s="23"/>
      <c r="H71" s="25" t="str">
        <f aca="false">IF(G71="","",IF(D71="Anual",G71*10,G71*12))</f>
        <v/>
      </c>
      <c r="I71" s="17" t="str">
        <f aca="true">IF(F71="","",F71-TODAY())</f>
        <v/>
      </c>
      <c r="J71" s="14"/>
      <c r="K71" s="17" t="str">
        <f aca="true">IF(J71="","",J71-TODAY())</f>
        <v/>
      </c>
      <c r="L71" s="22" t="str">
        <f aca="false">IF(A71="","",IF(AND(I71&lt;&gt;"",I71&lt;=30),"Renovar a licença",IF(AND(K71&lt;&gt;"",K71&lt;=15),"Renovar o token","")))</f>
        <v/>
      </c>
      <c r="M71" s="15"/>
      <c r="N71" s="15"/>
    </row>
    <row r="72" customFormat="false" ht="15" hidden="false" customHeight="false" outlineLevel="0" collapsed="false">
      <c r="A72" s="15"/>
      <c r="B72" s="15"/>
      <c r="C72" s="15"/>
      <c r="D72" s="15"/>
      <c r="E72" s="14"/>
      <c r="F72" s="14"/>
      <c r="G72" s="23"/>
      <c r="H72" s="25" t="str">
        <f aca="false">IF(G72="","",IF(D72="Anual",G72*10,G72*12))</f>
        <v/>
      </c>
      <c r="I72" s="17" t="str">
        <f aca="true">IF(F72="","",F72-TODAY())</f>
        <v/>
      </c>
      <c r="J72" s="14"/>
      <c r="K72" s="17" t="str">
        <f aca="true">IF(J72="","",J72-TODAY())</f>
        <v/>
      </c>
      <c r="L72" s="22" t="str">
        <f aca="false">IF(A72="","",IF(AND(I72&lt;&gt;"",I72&lt;=30),"Renovar a licença",IF(AND(K72&lt;&gt;"",K72&lt;=15),"Renovar o token","")))</f>
        <v/>
      </c>
      <c r="M72" s="15"/>
      <c r="N72" s="15"/>
    </row>
    <row r="73" customFormat="false" ht="15" hidden="false" customHeight="false" outlineLevel="0" collapsed="false">
      <c r="A73" s="15"/>
      <c r="B73" s="15"/>
      <c r="C73" s="15"/>
      <c r="D73" s="15"/>
      <c r="E73" s="14"/>
      <c r="F73" s="14"/>
      <c r="G73" s="23"/>
      <c r="H73" s="25" t="str">
        <f aca="false">IF(G73="","",IF(D73="Anual",G73*10,G73*12))</f>
        <v/>
      </c>
      <c r="I73" s="17" t="str">
        <f aca="true">IF(F73="","",F73-TODAY())</f>
        <v/>
      </c>
      <c r="J73" s="14"/>
      <c r="K73" s="17" t="str">
        <f aca="true">IF(J73="","",J73-TODAY())</f>
        <v/>
      </c>
      <c r="L73" s="22" t="str">
        <f aca="false">IF(A73="","",IF(AND(I73&lt;&gt;"",I73&lt;=30),"Renovar a licença",IF(AND(K73&lt;&gt;"",K73&lt;=15),"Renovar o token","")))</f>
        <v/>
      </c>
      <c r="M73" s="15"/>
      <c r="N73" s="15"/>
    </row>
    <row r="74" customFormat="false" ht="15" hidden="false" customHeight="false" outlineLevel="0" collapsed="false">
      <c r="A74" s="15"/>
      <c r="B74" s="15"/>
      <c r="C74" s="15"/>
      <c r="D74" s="15"/>
      <c r="E74" s="14"/>
      <c r="F74" s="14"/>
      <c r="G74" s="23"/>
      <c r="H74" s="25" t="str">
        <f aca="false">IF(G74="","",IF(D74="Anual",G74*10,G74*12))</f>
        <v/>
      </c>
      <c r="I74" s="17" t="str">
        <f aca="true">IF(F74="","",F74-TODAY())</f>
        <v/>
      </c>
      <c r="J74" s="14"/>
      <c r="K74" s="17" t="str">
        <f aca="true">IF(J74="","",J74-TODAY())</f>
        <v/>
      </c>
      <c r="L74" s="22" t="str">
        <f aca="false">IF(A74="","",IF(AND(I74&lt;&gt;"",I74&lt;=30),"Renovar a licença",IF(AND(K74&lt;&gt;"",K74&lt;=15),"Renovar o token","")))</f>
        <v/>
      </c>
      <c r="M74" s="15"/>
      <c r="N74" s="15"/>
    </row>
    <row r="75" customFormat="false" ht="15" hidden="false" customHeight="false" outlineLevel="0" collapsed="false">
      <c r="A75" s="15"/>
      <c r="B75" s="15"/>
      <c r="C75" s="15"/>
      <c r="D75" s="15"/>
      <c r="E75" s="14"/>
      <c r="F75" s="14"/>
      <c r="G75" s="23"/>
      <c r="H75" s="25" t="str">
        <f aca="false">IF(G75="","",IF(D75="Anual",G75*10,G75*12))</f>
        <v/>
      </c>
      <c r="I75" s="17" t="str">
        <f aca="true">IF(F75="","",F75-TODAY())</f>
        <v/>
      </c>
      <c r="J75" s="14"/>
      <c r="K75" s="17" t="str">
        <f aca="true">IF(J75="","",J75-TODAY())</f>
        <v/>
      </c>
      <c r="L75" s="22" t="str">
        <f aca="false">IF(A75="","",IF(AND(I75&lt;&gt;"",I75&lt;=30),"Renovar a licença",IF(AND(K75&lt;&gt;"",K75&lt;=15),"Renovar o token","")))</f>
        <v/>
      </c>
      <c r="M75" s="15"/>
      <c r="N75" s="15"/>
    </row>
    <row r="76" customFormat="false" ht="15" hidden="false" customHeight="false" outlineLevel="0" collapsed="false">
      <c r="A76" s="15"/>
      <c r="B76" s="15"/>
      <c r="C76" s="15"/>
      <c r="D76" s="15"/>
      <c r="E76" s="14"/>
      <c r="F76" s="14"/>
      <c r="G76" s="23"/>
      <c r="H76" s="25" t="str">
        <f aca="false">IF(G76="","",IF(D76="Anual",G76*10,G76*12))</f>
        <v/>
      </c>
      <c r="I76" s="17" t="str">
        <f aca="true">IF(F76="","",F76-TODAY())</f>
        <v/>
      </c>
      <c r="J76" s="14"/>
      <c r="K76" s="17" t="str">
        <f aca="true">IF(J76="","",J76-TODAY())</f>
        <v/>
      </c>
      <c r="L76" s="22" t="str">
        <f aca="false">IF(A76="","",IF(AND(I76&lt;&gt;"",I76&lt;=30),"Renovar a licença",IF(AND(K76&lt;&gt;"",K76&lt;=15),"Renovar o token","")))</f>
        <v/>
      </c>
      <c r="M76" s="15"/>
      <c r="N76" s="15"/>
    </row>
    <row r="77" customFormat="false" ht="15" hidden="false" customHeight="false" outlineLevel="0" collapsed="false">
      <c r="A77" s="15"/>
      <c r="B77" s="15"/>
      <c r="C77" s="15"/>
      <c r="D77" s="15"/>
      <c r="E77" s="14"/>
      <c r="F77" s="14"/>
      <c r="G77" s="23"/>
      <c r="H77" s="25" t="str">
        <f aca="false">IF(G77="","",IF(D77="Anual",G77*10,G77*12))</f>
        <v/>
      </c>
      <c r="I77" s="17" t="str">
        <f aca="true">IF(F77="","",F77-TODAY())</f>
        <v/>
      </c>
      <c r="J77" s="14"/>
      <c r="K77" s="17" t="str">
        <f aca="true">IF(J77="","",J77-TODAY())</f>
        <v/>
      </c>
      <c r="L77" s="22" t="str">
        <f aca="false">IF(A77="","",IF(AND(I77&lt;&gt;"",I77&lt;=30),"Renovar a licença",IF(AND(K77&lt;&gt;"",K77&lt;=15),"Renovar o token","")))</f>
        <v/>
      </c>
      <c r="M77" s="15"/>
      <c r="N77" s="15"/>
    </row>
    <row r="78" customFormat="false" ht="15" hidden="false" customHeight="false" outlineLevel="0" collapsed="false">
      <c r="A78" s="15"/>
      <c r="B78" s="15"/>
      <c r="C78" s="15"/>
      <c r="D78" s="15"/>
      <c r="E78" s="14"/>
      <c r="F78" s="14"/>
      <c r="G78" s="23"/>
      <c r="H78" s="25" t="str">
        <f aca="false">IF(G78="","",IF(D78="Anual",G78*10,G78*12))</f>
        <v/>
      </c>
      <c r="I78" s="17" t="str">
        <f aca="true">IF(F78="","",F78-TODAY())</f>
        <v/>
      </c>
      <c r="J78" s="14"/>
      <c r="K78" s="17" t="str">
        <f aca="true">IF(J78="","",J78-TODAY())</f>
        <v/>
      </c>
      <c r="L78" s="22" t="str">
        <f aca="false">IF(A78="","",IF(AND(I78&lt;&gt;"",I78&lt;=30),"Renovar a licença",IF(AND(K78&lt;&gt;"",K78&lt;=15),"Renovar o token","")))</f>
        <v/>
      </c>
      <c r="M78" s="15"/>
      <c r="N78" s="15"/>
    </row>
    <row r="79" customFormat="false" ht="15" hidden="false" customHeight="false" outlineLevel="0" collapsed="false">
      <c r="A79" s="15"/>
      <c r="B79" s="15"/>
      <c r="C79" s="15"/>
      <c r="D79" s="15"/>
      <c r="E79" s="14"/>
      <c r="F79" s="14"/>
      <c r="G79" s="23"/>
      <c r="H79" s="25" t="str">
        <f aca="false">IF(G79="","",IF(D79="Anual",G79*10,G79*12))</f>
        <v/>
      </c>
      <c r="I79" s="17" t="str">
        <f aca="true">IF(F79="","",F79-TODAY())</f>
        <v/>
      </c>
      <c r="J79" s="14"/>
      <c r="K79" s="17" t="str">
        <f aca="true">IF(J79="","",J79-TODAY())</f>
        <v/>
      </c>
      <c r="L79" s="22" t="str">
        <f aca="false">IF(A79="","",IF(AND(I79&lt;&gt;"",I79&lt;=30),"Renovar a licença",IF(AND(K79&lt;&gt;"",K79&lt;=15),"Renovar o token","")))</f>
        <v/>
      </c>
      <c r="M79" s="15"/>
      <c r="N79" s="15"/>
    </row>
    <row r="80" customFormat="false" ht="15" hidden="false" customHeight="false" outlineLevel="0" collapsed="false">
      <c r="A80" s="15"/>
      <c r="B80" s="15"/>
      <c r="C80" s="15"/>
      <c r="D80" s="15"/>
      <c r="E80" s="14"/>
      <c r="F80" s="14"/>
      <c r="G80" s="23"/>
      <c r="H80" s="25" t="str">
        <f aca="false">IF(G80="","",IF(D80="Anual",G80*10,G80*12))</f>
        <v/>
      </c>
      <c r="I80" s="17" t="str">
        <f aca="true">IF(F80="","",F80-TODAY())</f>
        <v/>
      </c>
      <c r="J80" s="14"/>
      <c r="K80" s="17" t="str">
        <f aca="true">IF(J80="","",J80-TODAY())</f>
        <v/>
      </c>
      <c r="L80" s="22" t="str">
        <f aca="false">IF(A80="","",IF(AND(I80&lt;&gt;"",I80&lt;=30),"Renovar a licença",IF(AND(K80&lt;&gt;"",K80&lt;=15),"Renovar o token","")))</f>
        <v/>
      </c>
      <c r="M80" s="15"/>
      <c r="N80" s="15"/>
    </row>
    <row r="81" customFormat="false" ht="15" hidden="false" customHeight="false" outlineLevel="0" collapsed="false">
      <c r="A81" s="15"/>
      <c r="B81" s="15"/>
      <c r="C81" s="15"/>
      <c r="D81" s="15"/>
      <c r="E81" s="14"/>
      <c r="F81" s="14"/>
      <c r="G81" s="23"/>
      <c r="H81" s="25" t="str">
        <f aca="false">IF(G81="","",IF(D81="Anual",G81*10,G81*12))</f>
        <v/>
      </c>
      <c r="I81" s="17" t="str">
        <f aca="true">IF(F81="","",F81-TODAY())</f>
        <v/>
      </c>
      <c r="J81" s="14"/>
      <c r="K81" s="17" t="str">
        <f aca="true">IF(J81="","",J81-TODAY())</f>
        <v/>
      </c>
      <c r="L81" s="22" t="str">
        <f aca="false">IF(A81="","",IF(AND(I81&lt;&gt;"",I81&lt;=30),"Renovar a licença",IF(AND(K81&lt;&gt;"",K81&lt;=15),"Renovar o token","")))</f>
        <v/>
      </c>
      <c r="M81" s="15"/>
      <c r="N81" s="15"/>
    </row>
    <row r="82" customFormat="false" ht="15" hidden="false" customHeight="false" outlineLevel="0" collapsed="false">
      <c r="A82" s="15"/>
      <c r="B82" s="15"/>
      <c r="C82" s="15"/>
      <c r="D82" s="15"/>
      <c r="E82" s="14"/>
      <c r="F82" s="14"/>
      <c r="G82" s="23"/>
      <c r="H82" s="25" t="str">
        <f aca="false">IF(G82="","",IF(D82="Anual",G82*10,G82*12))</f>
        <v/>
      </c>
      <c r="I82" s="17" t="str">
        <f aca="true">IF(F82="","",F82-TODAY())</f>
        <v/>
      </c>
      <c r="J82" s="14"/>
      <c r="K82" s="17" t="str">
        <f aca="true">IF(J82="","",J82-TODAY())</f>
        <v/>
      </c>
      <c r="L82" s="22" t="str">
        <f aca="false">IF(A82="","",IF(AND(I82&lt;&gt;"",I82&lt;=30),"Renovar a licença",IF(AND(K82&lt;&gt;"",K82&lt;=15),"Renovar o token","")))</f>
        <v/>
      </c>
      <c r="M82" s="15"/>
      <c r="N82" s="15"/>
    </row>
    <row r="83" customFormat="false" ht="15" hidden="false" customHeight="false" outlineLevel="0" collapsed="false">
      <c r="A83" s="15"/>
      <c r="B83" s="15"/>
      <c r="C83" s="15"/>
      <c r="D83" s="15"/>
      <c r="E83" s="14"/>
      <c r="F83" s="14"/>
      <c r="G83" s="23"/>
      <c r="H83" s="25" t="str">
        <f aca="false">IF(G83="","",IF(D83="Anual",G83*10,G83*12))</f>
        <v/>
      </c>
      <c r="I83" s="17" t="str">
        <f aca="true">IF(F83="","",F83-TODAY())</f>
        <v/>
      </c>
      <c r="J83" s="14"/>
      <c r="K83" s="17" t="str">
        <f aca="true">IF(J83="","",J83-TODAY())</f>
        <v/>
      </c>
      <c r="L83" s="22" t="str">
        <f aca="false">IF(A83="","",IF(AND(I83&lt;&gt;"",I83&lt;=30),"Renovar a licença",IF(AND(K83&lt;&gt;"",K83&lt;=15),"Renovar o token","")))</f>
        <v/>
      </c>
      <c r="M83" s="15"/>
      <c r="N83" s="15"/>
    </row>
    <row r="84" customFormat="false" ht="15" hidden="false" customHeight="false" outlineLevel="0" collapsed="false">
      <c r="A84" s="15"/>
      <c r="B84" s="15"/>
      <c r="C84" s="15"/>
      <c r="D84" s="15"/>
      <c r="E84" s="14"/>
      <c r="F84" s="14"/>
      <c r="G84" s="23"/>
      <c r="H84" s="25" t="str">
        <f aca="false">IF(G84="","",IF(D84="Anual",G84*10,G84*12))</f>
        <v/>
      </c>
      <c r="I84" s="17" t="str">
        <f aca="true">IF(F84="","",F84-TODAY())</f>
        <v/>
      </c>
      <c r="J84" s="14"/>
      <c r="K84" s="17" t="str">
        <f aca="true">IF(J84="","",J84-TODAY())</f>
        <v/>
      </c>
      <c r="L84" s="22" t="str">
        <f aca="false">IF(A84="","",IF(AND(I84&lt;&gt;"",I84&lt;=30),"Renovar a licença",IF(AND(K84&lt;&gt;"",K84&lt;=15),"Renovar o token","")))</f>
        <v/>
      </c>
      <c r="M84" s="15"/>
      <c r="N84" s="15"/>
    </row>
    <row r="85" customFormat="false" ht="15" hidden="false" customHeight="false" outlineLevel="0" collapsed="false">
      <c r="A85" s="15"/>
      <c r="B85" s="15"/>
      <c r="C85" s="15"/>
      <c r="D85" s="15"/>
      <c r="E85" s="14"/>
      <c r="F85" s="14"/>
      <c r="G85" s="23"/>
      <c r="H85" s="25" t="str">
        <f aca="false">IF(G85="","",IF(D85="Anual",G85*10,G85*12))</f>
        <v/>
      </c>
      <c r="I85" s="17" t="str">
        <f aca="true">IF(F85="","",F85-TODAY())</f>
        <v/>
      </c>
      <c r="J85" s="14"/>
      <c r="K85" s="17" t="str">
        <f aca="true">IF(J85="","",J85-TODAY())</f>
        <v/>
      </c>
      <c r="L85" s="22" t="str">
        <f aca="false">IF(A85="","",IF(AND(I85&lt;&gt;"",I85&lt;=30),"Renovar a licença",IF(AND(K85&lt;&gt;"",K85&lt;=15),"Renovar o token","")))</f>
        <v/>
      </c>
      <c r="M85" s="15"/>
      <c r="N85" s="15"/>
    </row>
    <row r="86" customFormat="false" ht="15" hidden="false" customHeight="false" outlineLevel="0" collapsed="false">
      <c r="A86" s="15"/>
      <c r="B86" s="15"/>
      <c r="C86" s="15"/>
      <c r="D86" s="15"/>
      <c r="E86" s="14"/>
      <c r="F86" s="14"/>
      <c r="G86" s="23"/>
      <c r="H86" s="25" t="str">
        <f aca="false">IF(G86="","",IF(D86="Anual",G86*10,G86*12))</f>
        <v/>
      </c>
      <c r="I86" s="17" t="str">
        <f aca="true">IF(F86="","",F86-TODAY())</f>
        <v/>
      </c>
      <c r="J86" s="14"/>
      <c r="K86" s="17" t="str">
        <f aca="true">IF(J86="","",J86-TODAY())</f>
        <v/>
      </c>
      <c r="L86" s="22" t="str">
        <f aca="false">IF(A86="","",IF(AND(I86&lt;&gt;"",I86&lt;=30),"Renovar a licença",IF(AND(K86&lt;&gt;"",K86&lt;=15),"Renovar o token","")))</f>
        <v/>
      </c>
      <c r="M86" s="15"/>
      <c r="N86" s="15"/>
    </row>
    <row r="87" customFormat="false" ht="15" hidden="false" customHeight="false" outlineLevel="0" collapsed="false">
      <c r="A87" s="15"/>
      <c r="B87" s="15"/>
      <c r="C87" s="15"/>
      <c r="D87" s="15"/>
      <c r="E87" s="14"/>
      <c r="F87" s="14"/>
      <c r="G87" s="23"/>
      <c r="H87" s="25" t="str">
        <f aca="false">IF(G87="","",IF(D87="Anual",G87*10,G87*12))</f>
        <v/>
      </c>
      <c r="I87" s="17" t="str">
        <f aca="true">IF(F87="","",F87-TODAY())</f>
        <v/>
      </c>
      <c r="J87" s="14"/>
      <c r="K87" s="17" t="str">
        <f aca="true">IF(J87="","",J87-TODAY())</f>
        <v/>
      </c>
      <c r="L87" s="22" t="str">
        <f aca="false">IF(A87="","",IF(AND(I87&lt;&gt;"",I87&lt;=30),"Renovar a licença",IF(AND(K87&lt;&gt;"",K87&lt;=15),"Renovar o token","")))</f>
        <v/>
      </c>
      <c r="M87" s="15"/>
      <c r="N87" s="15"/>
    </row>
    <row r="88" customFormat="false" ht="15" hidden="false" customHeight="false" outlineLevel="0" collapsed="false">
      <c r="A88" s="15"/>
      <c r="B88" s="15"/>
      <c r="C88" s="15"/>
      <c r="D88" s="15"/>
      <c r="E88" s="14"/>
      <c r="F88" s="14"/>
      <c r="G88" s="23"/>
      <c r="H88" s="25" t="str">
        <f aca="false">IF(G88="","",IF(D88="Anual",G88*10,G88*12))</f>
        <v/>
      </c>
      <c r="I88" s="17" t="str">
        <f aca="true">IF(F88="","",F88-TODAY())</f>
        <v/>
      </c>
      <c r="J88" s="14"/>
      <c r="K88" s="17" t="str">
        <f aca="true">IF(J88="","",J88-TODAY())</f>
        <v/>
      </c>
      <c r="L88" s="22" t="str">
        <f aca="false">IF(A88="","",IF(AND(I88&lt;&gt;"",I88&lt;=30),"Renovar a licença",IF(AND(K88&lt;&gt;"",K88&lt;=15),"Renovar o token","")))</f>
        <v/>
      </c>
      <c r="M88" s="15"/>
      <c r="N88" s="15"/>
    </row>
    <row r="89" customFormat="false" ht="15" hidden="false" customHeight="false" outlineLevel="0" collapsed="false">
      <c r="A89" s="15"/>
      <c r="B89" s="15"/>
      <c r="C89" s="15"/>
      <c r="D89" s="15"/>
      <c r="E89" s="14"/>
      <c r="F89" s="14"/>
      <c r="G89" s="23"/>
      <c r="H89" s="25" t="str">
        <f aca="false">IF(G89="","",IF(D89="Anual",G89*10,G89*12))</f>
        <v/>
      </c>
      <c r="I89" s="17" t="str">
        <f aca="true">IF(F89="","",F89-TODAY())</f>
        <v/>
      </c>
      <c r="J89" s="14"/>
      <c r="K89" s="17" t="str">
        <f aca="true">IF(J89="","",J89-TODAY())</f>
        <v/>
      </c>
      <c r="L89" s="22" t="str">
        <f aca="false">IF(A89="","",IF(AND(I89&lt;&gt;"",I89&lt;=30),"Renovar a licença",IF(AND(K89&lt;&gt;"",K89&lt;=15),"Renovar o token","")))</f>
        <v/>
      </c>
      <c r="M89" s="15"/>
      <c r="N89" s="15"/>
    </row>
    <row r="90" customFormat="false" ht="15" hidden="false" customHeight="false" outlineLevel="0" collapsed="false">
      <c r="A90" s="15"/>
      <c r="B90" s="15"/>
      <c r="C90" s="15"/>
      <c r="D90" s="15"/>
      <c r="E90" s="14"/>
      <c r="F90" s="14"/>
      <c r="G90" s="23"/>
      <c r="H90" s="25" t="str">
        <f aca="false">IF(G90="","",IF(D90="Anual",G90*10,G90*12))</f>
        <v/>
      </c>
      <c r="I90" s="17" t="str">
        <f aca="true">IF(F90="","",F90-TODAY())</f>
        <v/>
      </c>
      <c r="J90" s="14"/>
      <c r="K90" s="17" t="str">
        <f aca="true">IF(J90="","",J90-TODAY())</f>
        <v/>
      </c>
      <c r="L90" s="22" t="str">
        <f aca="false">IF(A90="","",IF(AND(I90&lt;&gt;"",I90&lt;=30),"Renovar a licença",IF(AND(K90&lt;&gt;"",K90&lt;=15),"Renovar o token","")))</f>
        <v/>
      </c>
      <c r="M90" s="15"/>
      <c r="N90" s="15"/>
    </row>
    <row r="91" customFormat="false" ht="15" hidden="false" customHeight="false" outlineLevel="0" collapsed="false">
      <c r="A91" s="15"/>
      <c r="B91" s="15"/>
      <c r="C91" s="15"/>
      <c r="D91" s="15"/>
      <c r="E91" s="14"/>
      <c r="F91" s="14"/>
      <c r="G91" s="23"/>
      <c r="H91" s="25" t="str">
        <f aca="false">IF(G91="","",IF(D91="Anual",G91*10,G91*12))</f>
        <v/>
      </c>
      <c r="I91" s="17" t="str">
        <f aca="true">IF(F91="","",F91-TODAY())</f>
        <v/>
      </c>
      <c r="J91" s="14"/>
      <c r="K91" s="17" t="str">
        <f aca="true">IF(J91="","",J91-TODAY())</f>
        <v/>
      </c>
      <c r="L91" s="22" t="str">
        <f aca="false">IF(A91="","",IF(AND(I91&lt;&gt;"",I91&lt;=30),"Renovar a licença",IF(AND(K91&lt;&gt;"",K91&lt;=15),"Renovar o token","")))</f>
        <v/>
      </c>
      <c r="M91" s="15"/>
      <c r="N91" s="15"/>
    </row>
    <row r="92" customFormat="false" ht="15" hidden="false" customHeight="false" outlineLevel="0" collapsed="false">
      <c r="A92" s="15"/>
      <c r="B92" s="15"/>
      <c r="C92" s="15"/>
      <c r="D92" s="15"/>
      <c r="E92" s="14"/>
      <c r="F92" s="14"/>
      <c r="G92" s="23"/>
      <c r="H92" s="25" t="str">
        <f aca="false">IF(G92="","",IF(D92="Anual",G92*10,G92*12))</f>
        <v/>
      </c>
      <c r="I92" s="17" t="str">
        <f aca="true">IF(F92="","",F92-TODAY())</f>
        <v/>
      </c>
      <c r="J92" s="14"/>
      <c r="K92" s="17" t="str">
        <f aca="true">IF(J92="","",J92-TODAY())</f>
        <v/>
      </c>
      <c r="L92" s="22" t="str">
        <f aca="false">IF(A92="","",IF(AND(I92&lt;&gt;"",I92&lt;=30),"Renovar a licença",IF(AND(K92&lt;&gt;"",K92&lt;=15),"Renovar o token","")))</f>
        <v/>
      </c>
      <c r="M92" s="15"/>
      <c r="N92" s="15"/>
    </row>
    <row r="93" customFormat="false" ht="15" hidden="false" customHeight="false" outlineLevel="0" collapsed="false">
      <c r="A93" s="15"/>
      <c r="B93" s="15"/>
      <c r="C93" s="15"/>
      <c r="D93" s="15"/>
      <c r="E93" s="14"/>
      <c r="F93" s="14"/>
      <c r="G93" s="23"/>
      <c r="H93" s="25" t="str">
        <f aca="false">IF(G93="","",IF(D93="Anual",G93*10,G93*12))</f>
        <v/>
      </c>
      <c r="I93" s="17" t="str">
        <f aca="true">IF(F93="","",F93-TODAY())</f>
        <v/>
      </c>
      <c r="J93" s="14"/>
      <c r="K93" s="17" t="str">
        <f aca="true">IF(J93="","",J93-TODAY())</f>
        <v/>
      </c>
      <c r="L93" s="22" t="str">
        <f aca="false">IF(A93="","",IF(AND(I93&lt;&gt;"",I93&lt;=30),"Renovar a licença",IF(AND(K93&lt;&gt;"",K93&lt;=15),"Renovar o token","")))</f>
        <v/>
      </c>
      <c r="M93" s="15"/>
      <c r="N93" s="15"/>
    </row>
    <row r="94" customFormat="false" ht="15" hidden="false" customHeight="false" outlineLevel="0" collapsed="false">
      <c r="A94" s="15"/>
      <c r="B94" s="15"/>
      <c r="C94" s="15"/>
      <c r="D94" s="15"/>
      <c r="E94" s="14"/>
      <c r="F94" s="14"/>
      <c r="G94" s="23"/>
      <c r="H94" s="25" t="str">
        <f aca="false">IF(G94="","",IF(D94="Anual",G94*10,G94*12))</f>
        <v/>
      </c>
      <c r="I94" s="17" t="str">
        <f aca="true">IF(F94="","",F94-TODAY())</f>
        <v/>
      </c>
      <c r="J94" s="14"/>
      <c r="K94" s="17" t="str">
        <f aca="true">IF(J94="","",J94-TODAY())</f>
        <v/>
      </c>
      <c r="L94" s="22" t="str">
        <f aca="false">IF(A94="","",IF(AND(I94&lt;&gt;"",I94&lt;=30),"Renovar a licença",IF(AND(K94&lt;&gt;"",K94&lt;=15),"Renovar o token","")))</f>
        <v/>
      </c>
      <c r="M94" s="15"/>
      <c r="N94" s="15"/>
    </row>
    <row r="95" customFormat="false" ht="15" hidden="false" customHeight="false" outlineLevel="0" collapsed="false">
      <c r="A95" s="15"/>
      <c r="B95" s="15"/>
      <c r="C95" s="15"/>
      <c r="D95" s="15"/>
      <c r="E95" s="14"/>
      <c r="F95" s="14"/>
      <c r="G95" s="23"/>
      <c r="H95" s="25" t="str">
        <f aca="false">IF(G95="","",IF(D95="Anual",G95*10,G95*12))</f>
        <v/>
      </c>
      <c r="I95" s="17" t="str">
        <f aca="true">IF(F95="","",F95-TODAY())</f>
        <v/>
      </c>
      <c r="J95" s="14"/>
      <c r="K95" s="17" t="str">
        <f aca="true">IF(J95="","",J95-TODAY())</f>
        <v/>
      </c>
      <c r="L95" s="22" t="str">
        <f aca="false">IF(A95="","",IF(AND(I95&lt;&gt;"",I95&lt;=30),"Renovar a licença",IF(AND(K95&lt;&gt;"",K95&lt;=15),"Renovar o token","")))</f>
        <v/>
      </c>
      <c r="M95" s="15"/>
      <c r="N95" s="15"/>
    </row>
    <row r="96" customFormat="false" ht="15" hidden="false" customHeight="false" outlineLevel="0" collapsed="false">
      <c r="A96" s="15"/>
      <c r="B96" s="15"/>
      <c r="C96" s="15"/>
      <c r="D96" s="15"/>
      <c r="E96" s="14"/>
      <c r="F96" s="14"/>
      <c r="G96" s="23"/>
      <c r="H96" s="25" t="str">
        <f aca="false">IF(G96="","",IF(D96="Anual",G96*10,G96*12))</f>
        <v/>
      </c>
      <c r="I96" s="17" t="str">
        <f aca="true">IF(F96="","",F96-TODAY())</f>
        <v/>
      </c>
      <c r="J96" s="14"/>
      <c r="K96" s="17" t="str">
        <f aca="true">IF(J96="","",J96-TODAY())</f>
        <v/>
      </c>
      <c r="L96" s="22" t="str">
        <f aca="false">IF(A96="","",IF(AND(I96&lt;&gt;"",I96&lt;=30),"Renovar a licença",IF(AND(K96&lt;&gt;"",K96&lt;=15),"Renovar o token","")))</f>
        <v/>
      </c>
      <c r="M96" s="15"/>
      <c r="N96" s="15"/>
    </row>
    <row r="97" customFormat="false" ht="15" hidden="false" customHeight="false" outlineLevel="0" collapsed="false">
      <c r="A97" s="15"/>
      <c r="B97" s="15"/>
      <c r="C97" s="15"/>
      <c r="D97" s="15"/>
      <c r="E97" s="14"/>
      <c r="F97" s="14"/>
      <c r="G97" s="23"/>
      <c r="H97" s="25" t="str">
        <f aca="false">IF(G97="","",IF(D97="Anual",G97*10,G97*12))</f>
        <v/>
      </c>
      <c r="I97" s="17" t="str">
        <f aca="true">IF(F97="","",F97-TODAY())</f>
        <v/>
      </c>
      <c r="J97" s="14"/>
      <c r="K97" s="17" t="str">
        <f aca="true">IF(J97="","",J97-TODAY())</f>
        <v/>
      </c>
      <c r="L97" s="22" t="str">
        <f aca="false">IF(A97="","",IF(AND(I97&lt;&gt;"",I97&lt;=30),"Renovar a licença",IF(AND(K97&lt;&gt;"",K97&lt;=15),"Renovar o token","")))</f>
        <v/>
      </c>
      <c r="M97" s="15"/>
      <c r="N97" s="15"/>
    </row>
    <row r="98" customFormat="false" ht="15" hidden="false" customHeight="false" outlineLevel="0" collapsed="false">
      <c r="A98" s="15"/>
      <c r="B98" s="15"/>
      <c r="C98" s="15"/>
      <c r="D98" s="15"/>
      <c r="E98" s="14"/>
      <c r="F98" s="14"/>
      <c r="G98" s="23"/>
      <c r="H98" s="25" t="str">
        <f aca="false">IF(G98="","",IF(D98="Anual",G98*10,G98*12))</f>
        <v/>
      </c>
      <c r="I98" s="17" t="str">
        <f aca="true">IF(F98="","",F98-TODAY())</f>
        <v/>
      </c>
      <c r="J98" s="14"/>
      <c r="K98" s="17" t="str">
        <f aca="true">IF(J98="","",J98-TODAY())</f>
        <v/>
      </c>
      <c r="L98" s="22" t="str">
        <f aca="false">IF(A98="","",IF(AND(I98&lt;&gt;"",I98&lt;=30),"Renovar a licença",IF(AND(K98&lt;&gt;"",K98&lt;=15),"Renovar o token","")))</f>
        <v/>
      </c>
      <c r="M98" s="15"/>
      <c r="N98" s="15"/>
    </row>
    <row r="99" customFormat="false" ht="15" hidden="false" customHeight="false" outlineLevel="0" collapsed="false">
      <c r="A99" s="15"/>
      <c r="B99" s="15"/>
      <c r="C99" s="15"/>
      <c r="D99" s="15"/>
      <c r="E99" s="14"/>
      <c r="F99" s="14"/>
      <c r="G99" s="23"/>
      <c r="H99" s="25" t="str">
        <f aca="false">IF(G99="","",IF(D99="Anual",G99*10,G99*12))</f>
        <v/>
      </c>
      <c r="I99" s="17" t="str">
        <f aca="true">IF(F99="","",F99-TODAY())</f>
        <v/>
      </c>
      <c r="J99" s="14"/>
      <c r="K99" s="17" t="str">
        <f aca="true">IF(J99="","",J99-TODAY())</f>
        <v/>
      </c>
      <c r="L99" s="22" t="str">
        <f aca="false">IF(A99="","",IF(AND(I99&lt;&gt;"",I99&lt;=30),"Renovar a licença",IF(AND(K99&lt;&gt;"",K99&lt;=15),"Renovar o token","")))</f>
        <v/>
      </c>
      <c r="M99" s="15"/>
      <c r="N99" s="15"/>
    </row>
    <row r="100" customFormat="false" ht="15" hidden="false" customHeight="false" outlineLevel="0" collapsed="false">
      <c r="A100" s="15"/>
      <c r="B100" s="15"/>
      <c r="C100" s="15"/>
      <c r="D100" s="15"/>
      <c r="E100" s="14"/>
      <c r="F100" s="14"/>
      <c r="G100" s="23"/>
      <c r="H100" s="25" t="str">
        <f aca="false">IF(G100="","",IF(D100="Anual",G100*10,G100*12))</f>
        <v/>
      </c>
      <c r="I100" s="17" t="str">
        <f aca="true">IF(F100="","",F100-TODAY())</f>
        <v/>
      </c>
      <c r="J100" s="14"/>
      <c r="K100" s="17" t="str">
        <f aca="true">IF(J100="","",J100-TODAY())</f>
        <v/>
      </c>
      <c r="L100" s="22" t="str">
        <f aca="false">IF(A100="","",IF(AND(I100&lt;&gt;"",I100&lt;=30),"Renovar a licença",IF(AND(K100&lt;&gt;"",K100&lt;=15),"Renovar o token","")))</f>
        <v/>
      </c>
      <c r="M100" s="15"/>
      <c r="N100" s="15"/>
    </row>
    <row r="101" customFormat="false" ht="15" hidden="false" customHeight="false" outlineLevel="0" collapsed="false">
      <c r="A101" s="15"/>
      <c r="B101" s="15"/>
      <c r="C101" s="15"/>
      <c r="D101" s="15"/>
      <c r="E101" s="14"/>
      <c r="F101" s="14"/>
      <c r="G101" s="23"/>
      <c r="H101" s="25" t="str">
        <f aca="false">IF(G101="","",IF(D101="Anual",G101*10,G101*12))</f>
        <v/>
      </c>
      <c r="I101" s="17" t="str">
        <f aca="true">IF(F101="","",F101-TODAY())</f>
        <v/>
      </c>
      <c r="J101" s="14"/>
      <c r="K101" s="17" t="str">
        <f aca="true">IF(J101="","",J101-TODAY())</f>
        <v/>
      </c>
      <c r="L101" s="22" t="str">
        <f aca="false">IF(A101="","",IF(AND(I101&lt;&gt;"",I101&lt;=30),"Renovar a licença",IF(AND(K101&lt;&gt;"",K101&lt;=15),"Renovar o token","")))</f>
        <v/>
      </c>
      <c r="M101" s="15"/>
      <c r="N101" s="15"/>
    </row>
    <row r="102" customFormat="false" ht="15" hidden="false" customHeight="false" outlineLevel="0" collapsed="false">
      <c r="A102" s="15"/>
      <c r="B102" s="15"/>
      <c r="C102" s="15"/>
      <c r="D102" s="15"/>
      <c r="E102" s="14"/>
      <c r="F102" s="14"/>
      <c r="G102" s="23"/>
      <c r="H102" s="25" t="str">
        <f aca="false">IF(G102="","",IF(D102="Anual",G102*10,G102*12))</f>
        <v/>
      </c>
      <c r="I102" s="17" t="str">
        <f aca="true">IF(F102="","",F102-TODAY())</f>
        <v/>
      </c>
      <c r="J102" s="14"/>
      <c r="K102" s="17" t="str">
        <f aca="true">IF(J102="","",J102-TODAY())</f>
        <v/>
      </c>
      <c r="L102" s="22" t="str">
        <f aca="false">IF(A102="","",IF(AND(I102&lt;&gt;"",I102&lt;=30),"Renovar a licença",IF(AND(K102&lt;&gt;"",K102&lt;=15),"Renovar o token","")))</f>
        <v/>
      </c>
      <c r="M102" s="15"/>
      <c r="N102" s="15"/>
    </row>
    <row r="103" customFormat="false" ht="15" hidden="false" customHeight="false" outlineLevel="0" collapsed="false">
      <c r="A103" s="15"/>
      <c r="B103" s="15"/>
      <c r="C103" s="15"/>
      <c r="D103" s="15"/>
      <c r="E103" s="14"/>
      <c r="F103" s="14"/>
      <c r="G103" s="23"/>
      <c r="H103" s="25" t="str">
        <f aca="false">IF(G103="","",IF(D103="Anual",G103*10,G103*12))</f>
        <v/>
      </c>
      <c r="I103" s="17" t="str">
        <f aca="true">IF(F103="","",F103-TODAY())</f>
        <v/>
      </c>
      <c r="J103" s="14"/>
      <c r="K103" s="17" t="str">
        <f aca="true">IF(J103="","",J103-TODAY())</f>
        <v/>
      </c>
      <c r="L103" s="22" t="str">
        <f aca="false">IF(A103="","",IF(AND(I103&lt;&gt;"",I103&lt;=30),"Renovar a licença",IF(AND(K103&lt;&gt;"",K103&lt;=15),"Renovar o token","")))</f>
        <v/>
      </c>
      <c r="M103" s="15"/>
      <c r="N103" s="15"/>
    </row>
    <row r="104" customFormat="false" ht="15" hidden="false" customHeight="false" outlineLevel="0" collapsed="false">
      <c r="A104" s="15"/>
      <c r="B104" s="15"/>
      <c r="C104" s="15"/>
      <c r="D104" s="15"/>
      <c r="E104" s="14"/>
      <c r="F104" s="14"/>
      <c r="G104" s="23"/>
      <c r="H104" s="25" t="str">
        <f aca="false">IF(G104="","",IF(D104="Anual",G104*10,G104*12))</f>
        <v/>
      </c>
      <c r="I104" s="17" t="str">
        <f aca="true">IF(F104="","",F104-TODAY())</f>
        <v/>
      </c>
      <c r="J104" s="14"/>
      <c r="K104" s="17" t="str">
        <f aca="true">IF(J104="","",J104-TODAY())</f>
        <v/>
      </c>
      <c r="L104" s="22" t="str">
        <f aca="false">IF(A104="","",IF(AND(I104&lt;&gt;"",I104&lt;=30),"Renovar a licença",IF(AND(K104&lt;&gt;"",K104&lt;=15),"Renovar o token","")))</f>
        <v/>
      </c>
      <c r="M104" s="15"/>
      <c r="N104" s="15"/>
    </row>
    <row r="105" customFormat="false" ht="15" hidden="false" customHeight="false" outlineLevel="0" collapsed="false">
      <c r="A105" s="15"/>
      <c r="B105" s="15"/>
      <c r="C105" s="15"/>
      <c r="D105" s="15"/>
      <c r="E105" s="14"/>
      <c r="F105" s="14"/>
      <c r="G105" s="23"/>
      <c r="H105" s="25" t="str">
        <f aca="false">IF(G105="","",IF(D105="Anual",G105*10,G105*12))</f>
        <v/>
      </c>
      <c r="I105" s="17" t="str">
        <f aca="true">IF(F105="","",F105-TODAY())</f>
        <v/>
      </c>
      <c r="J105" s="14"/>
      <c r="K105" s="17" t="str">
        <f aca="true">IF(J105="","",J105-TODAY())</f>
        <v/>
      </c>
      <c r="L105" s="22" t="str">
        <f aca="false">IF(A105="","",IF(AND(I105&lt;&gt;"",I105&lt;=30),"Renovar a licença",IF(AND(K105&lt;&gt;"",K105&lt;=15),"Renovar o token","")))</f>
        <v/>
      </c>
      <c r="M105" s="15"/>
      <c r="N105" s="15"/>
    </row>
    <row r="106" customFormat="false" ht="15" hidden="false" customHeight="false" outlineLevel="0" collapsed="false">
      <c r="A106" s="15"/>
      <c r="B106" s="15"/>
      <c r="C106" s="15"/>
      <c r="D106" s="15"/>
      <c r="E106" s="14"/>
      <c r="F106" s="14"/>
      <c r="G106" s="23"/>
      <c r="H106" s="25" t="str">
        <f aca="false">IF(G106="","",IF(D106="Anual",G106*10,G106*12))</f>
        <v/>
      </c>
      <c r="I106" s="17" t="str">
        <f aca="true">IF(F106="","",F106-TODAY())</f>
        <v/>
      </c>
      <c r="J106" s="14"/>
      <c r="K106" s="17" t="str">
        <f aca="true">IF(J106="","",J106-TODAY())</f>
        <v/>
      </c>
      <c r="L106" s="22" t="str">
        <f aca="false">IF(A106="","",IF(AND(I106&lt;&gt;"",I106&lt;=30),"Renovar a licença",IF(AND(K106&lt;&gt;"",K106&lt;=15),"Renovar o token","")))</f>
        <v/>
      </c>
      <c r="M106" s="15"/>
      <c r="N106" s="15"/>
    </row>
    <row r="107" customFormat="false" ht="15" hidden="false" customHeight="false" outlineLevel="0" collapsed="false">
      <c r="A107" s="15"/>
      <c r="B107" s="15"/>
      <c r="C107" s="15"/>
      <c r="D107" s="15"/>
      <c r="E107" s="14"/>
      <c r="F107" s="14"/>
      <c r="G107" s="23"/>
      <c r="H107" s="25" t="str">
        <f aca="false">IF(G107="","",IF(D107="Anual",G107*10,G107*12))</f>
        <v/>
      </c>
      <c r="I107" s="17" t="str">
        <f aca="true">IF(F107="","",F107-TODAY())</f>
        <v/>
      </c>
      <c r="J107" s="14"/>
      <c r="K107" s="17" t="str">
        <f aca="true">IF(J107="","",J107-TODAY())</f>
        <v/>
      </c>
      <c r="L107" s="22" t="str">
        <f aca="false">IF(A107="","",IF(AND(I107&lt;&gt;"",I107&lt;=30),"Renovar a licença",IF(AND(K107&lt;&gt;"",K107&lt;=15),"Renovar o token","")))</f>
        <v/>
      </c>
      <c r="M107" s="15"/>
      <c r="N107" s="15"/>
    </row>
    <row r="108" customFormat="false" ht="15" hidden="false" customHeight="false" outlineLevel="0" collapsed="false">
      <c r="A108" s="15"/>
      <c r="B108" s="15"/>
      <c r="C108" s="15"/>
      <c r="D108" s="15"/>
      <c r="E108" s="14"/>
      <c r="F108" s="14"/>
      <c r="G108" s="23"/>
      <c r="H108" s="25" t="str">
        <f aca="false">IF(G108="","",IF(D108="Anual",G108*10,G108*12))</f>
        <v/>
      </c>
      <c r="I108" s="17" t="str">
        <f aca="true">IF(F108="","",F108-TODAY())</f>
        <v/>
      </c>
      <c r="J108" s="14"/>
      <c r="K108" s="17" t="str">
        <f aca="true">IF(J108="","",J108-TODAY())</f>
        <v/>
      </c>
      <c r="L108" s="22" t="str">
        <f aca="false">IF(A108="","",IF(AND(I108&lt;&gt;"",I108&lt;=30),"Renovar a licença",IF(AND(K108&lt;&gt;"",K108&lt;=15),"Renovar o token","")))</f>
        <v/>
      </c>
      <c r="M108" s="15"/>
      <c r="N108" s="15"/>
    </row>
    <row r="109" customFormat="false" ht="15" hidden="false" customHeight="false" outlineLevel="0" collapsed="false">
      <c r="A109" s="15"/>
      <c r="B109" s="15"/>
      <c r="C109" s="15"/>
      <c r="D109" s="15"/>
      <c r="E109" s="14"/>
      <c r="F109" s="14"/>
      <c r="G109" s="23"/>
      <c r="H109" s="25" t="str">
        <f aca="false">IF(G109="","",IF(D109="Anual",G109*10,G109*12))</f>
        <v/>
      </c>
      <c r="I109" s="17" t="str">
        <f aca="true">IF(F109="","",F109-TODAY())</f>
        <v/>
      </c>
      <c r="J109" s="14"/>
      <c r="K109" s="17" t="str">
        <f aca="true">IF(J109="","",J109-TODAY())</f>
        <v/>
      </c>
      <c r="L109" s="22" t="str">
        <f aca="false">IF(A109="","",IF(AND(I109&lt;&gt;"",I109&lt;=30),"Renovar a licença",IF(AND(K109&lt;&gt;"",K109&lt;=15),"Renovar o token","")))</f>
        <v/>
      </c>
      <c r="M109" s="15"/>
      <c r="N109" s="15"/>
    </row>
    <row r="110" customFormat="false" ht="15" hidden="false" customHeight="false" outlineLevel="0" collapsed="false">
      <c r="A110" s="15"/>
      <c r="B110" s="15"/>
      <c r="C110" s="15"/>
      <c r="D110" s="15"/>
      <c r="E110" s="14"/>
      <c r="F110" s="14"/>
      <c r="G110" s="23"/>
      <c r="H110" s="25" t="str">
        <f aca="false">IF(G110="","",IF(D110="Anual",G110*10,G110*12))</f>
        <v/>
      </c>
      <c r="I110" s="17" t="str">
        <f aca="true">IF(F110="","",F110-TODAY())</f>
        <v/>
      </c>
      <c r="J110" s="14"/>
      <c r="K110" s="17" t="str">
        <f aca="true">IF(J110="","",J110-TODAY())</f>
        <v/>
      </c>
      <c r="L110" s="22" t="str">
        <f aca="false">IF(A110="","",IF(AND(I110&lt;&gt;"",I110&lt;=30),"Renovar a licença",IF(AND(K110&lt;&gt;"",K110&lt;=15),"Renovar o token","")))</f>
        <v/>
      </c>
      <c r="M110" s="15"/>
      <c r="N110" s="15"/>
    </row>
    <row r="111" customFormat="false" ht="15" hidden="false" customHeight="false" outlineLevel="0" collapsed="false">
      <c r="A111" s="15"/>
      <c r="B111" s="15"/>
      <c r="C111" s="15"/>
      <c r="D111" s="15"/>
      <c r="E111" s="14"/>
      <c r="F111" s="14"/>
      <c r="G111" s="23"/>
      <c r="H111" s="25" t="str">
        <f aca="false">IF(G111="","",IF(D111="Anual",G111*10,G111*12))</f>
        <v/>
      </c>
      <c r="I111" s="17" t="str">
        <f aca="true">IF(F111="","",F111-TODAY())</f>
        <v/>
      </c>
      <c r="J111" s="14"/>
      <c r="K111" s="17" t="str">
        <f aca="true">IF(J111="","",J111-TODAY())</f>
        <v/>
      </c>
      <c r="L111" s="22" t="str">
        <f aca="false">IF(A111="","",IF(AND(I111&lt;&gt;"",I111&lt;=30),"Renovar a licença",IF(AND(K111&lt;&gt;"",K111&lt;=15),"Renovar o token","")))</f>
        <v/>
      </c>
      <c r="M111" s="15"/>
      <c r="N111" s="15"/>
    </row>
    <row r="112" customFormat="false" ht="15" hidden="false" customHeight="false" outlineLevel="0" collapsed="false">
      <c r="A112" s="15"/>
      <c r="B112" s="15"/>
      <c r="C112" s="15"/>
      <c r="D112" s="15"/>
      <c r="E112" s="14"/>
      <c r="F112" s="14"/>
      <c r="G112" s="23"/>
      <c r="H112" s="25" t="str">
        <f aca="false">IF(G112="","",IF(D112="Anual",G112*10,G112*12))</f>
        <v/>
      </c>
      <c r="I112" s="17" t="str">
        <f aca="true">IF(F112="","",F112-TODAY())</f>
        <v/>
      </c>
      <c r="J112" s="14"/>
      <c r="K112" s="17" t="str">
        <f aca="true">IF(J112="","",J112-TODAY())</f>
        <v/>
      </c>
      <c r="L112" s="22" t="str">
        <f aca="false">IF(A112="","",IF(AND(I112&lt;&gt;"",I112&lt;=30),"Renovar a licença",IF(AND(K112&lt;&gt;"",K112&lt;=15),"Renovar o token","")))</f>
        <v/>
      </c>
      <c r="M112" s="15"/>
      <c r="N112" s="15"/>
    </row>
    <row r="113" customFormat="false" ht="15" hidden="false" customHeight="false" outlineLevel="0" collapsed="false">
      <c r="A113" s="15"/>
      <c r="B113" s="15"/>
      <c r="C113" s="15"/>
      <c r="D113" s="15"/>
      <c r="E113" s="14"/>
      <c r="F113" s="14"/>
      <c r="G113" s="23"/>
      <c r="H113" s="25" t="str">
        <f aca="false">IF(G113="","",IF(D113="Anual",G113*10,G113*12))</f>
        <v/>
      </c>
      <c r="I113" s="17" t="str">
        <f aca="true">IF(F113="","",F113-TODAY())</f>
        <v/>
      </c>
      <c r="J113" s="14"/>
      <c r="K113" s="17" t="str">
        <f aca="true">IF(J113="","",J113-TODAY())</f>
        <v/>
      </c>
      <c r="L113" s="22" t="str">
        <f aca="false">IF(A113="","",IF(AND(I113&lt;&gt;"",I113&lt;=30),"Renovar a licença",IF(AND(K113&lt;&gt;"",K113&lt;=15),"Renovar o token","")))</f>
        <v/>
      </c>
      <c r="M113" s="15"/>
      <c r="N113" s="15"/>
    </row>
    <row r="114" customFormat="false" ht="15" hidden="false" customHeight="false" outlineLevel="0" collapsed="false">
      <c r="A114" s="15"/>
      <c r="B114" s="15"/>
      <c r="C114" s="15"/>
      <c r="D114" s="15"/>
      <c r="E114" s="14"/>
      <c r="F114" s="14"/>
      <c r="G114" s="23"/>
      <c r="H114" s="25" t="str">
        <f aca="false">IF(G114="","",IF(D114="Anual",G114*10,G114*12))</f>
        <v/>
      </c>
      <c r="I114" s="17" t="str">
        <f aca="true">IF(F114="","",F114-TODAY())</f>
        <v/>
      </c>
      <c r="J114" s="14"/>
      <c r="K114" s="17" t="str">
        <f aca="true">IF(J114="","",J114-TODAY())</f>
        <v/>
      </c>
      <c r="L114" s="22" t="str">
        <f aca="false">IF(A114="","",IF(AND(I114&lt;&gt;"",I114&lt;=30),"Renovar a licença",IF(AND(K114&lt;&gt;"",K114&lt;=15),"Renovar o token","")))</f>
        <v/>
      </c>
      <c r="M114" s="15"/>
      <c r="N114" s="15"/>
    </row>
    <row r="115" customFormat="false" ht="15" hidden="false" customHeight="false" outlineLevel="0" collapsed="false">
      <c r="A115" s="15"/>
      <c r="B115" s="15"/>
      <c r="C115" s="15"/>
      <c r="D115" s="15"/>
      <c r="E115" s="14"/>
      <c r="F115" s="14"/>
      <c r="G115" s="23"/>
      <c r="H115" s="25" t="str">
        <f aca="false">IF(G115="","",IF(D115="Anual",G115*10,G115*12))</f>
        <v/>
      </c>
      <c r="I115" s="17" t="str">
        <f aca="true">IF(F115="","",F115-TODAY())</f>
        <v/>
      </c>
      <c r="J115" s="14"/>
      <c r="K115" s="17" t="str">
        <f aca="true">IF(J115="","",J115-TODAY())</f>
        <v/>
      </c>
      <c r="L115" s="22" t="str">
        <f aca="false">IF(A115="","",IF(AND(I115&lt;&gt;"",I115&lt;=30),"Renovar a licença",IF(AND(K115&lt;&gt;"",K115&lt;=15),"Renovar o token","")))</f>
        <v/>
      </c>
      <c r="M115" s="15"/>
      <c r="N115" s="15"/>
    </row>
    <row r="116" customFormat="false" ht="15" hidden="false" customHeight="false" outlineLevel="0" collapsed="false">
      <c r="A116" s="15"/>
      <c r="B116" s="15"/>
      <c r="C116" s="15"/>
      <c r="D116" s="15"/>
      <c r="E116" s="14"/>
      <c r="F116" s="14"/>
      <c r="G116" s="23"/>
      <c r="H116" s="25" t="str">
        <f aca="false">IF(G116="","",IF(D116="Anual",G116*10,G116*12))</f>
        <v/>
      </c>
      <c r="I116" s="17" t="str">
        <f aca="true">IF(F116="","",F116-TODAY())</f>
        <v/>
      </c>
      <c r="J116" s="14"/>
      <c r="K116" s="17" t="str">
        <f aca="true">IF(J116="","",J116-TODAY())</f>
        <v/>
      </c>
      <c r="L116" s="22" t="str">
        <f aca="false">IF(A116="","",IF(AND(I116&lt;&gt;"",I116&lt;=30),"Renovar a licença",IF(AND(K116&lt;&gt;"",K116&lt;=15),"Renovar o token","")))</f>
        <v/>
      </c>
      <c r="M116" s="15"/>
      <c r="N116" s="15"/>
    </row>
    <row r="117" customFormat="false" ht="15" hidden="false" customHeight="false" outlineLevel="0" collapsed="false">
      <c r="A117" s="15"/>
      <c r="B117" s="15"/>
      <c r="C117" s="15"/>
      <c r="D117" s="15"/>
      <c r="E117" s="14"/>
      <c r="F117" s="14"/>
      <c r="G117" s="23"/>
      <c r="H117" s="25" t="str">
        <f aca="false">IF(G117="","",IF(D117="Anual",G117*10,G117*12))</f>
        <v/>
      </c>
      <c r="I117" s="17" t="str">
        <f aca="true">IF(F117="","",F117-TODAY())</f>
        <v/>
      </c>
      <c r="J117" s="14"/>
      <c r="K117" s="17" t="str">
        <f aca="true">IF(J117="","",J117-TODAY())</f>
        <v/>
      </c>
      <c r="L117" s="22" t="str">
        <f aca="false">IF(A117="","",IF(AND(I117&lt;&gt;"",I117&lt;=30),"Renovar a licença",IF(AND(K117&lt;&gt;"",K117&lt;=15),"Renovar o token","")))</f>
        <v/>
      </c>
      <c r="M117" s="15"/>
      <c r="N117" s="15"/>
    </row>
    <row r="118" customFormat="false" ht="15" hidden="false" customHeight="false" outlineLevel="0" collapsed="false">
      <c r="A118" s="15"/>
      <c r="B118" s="15"/>
      <c r="C118" s="15"/>
      <c r="D118" s="15"/>
      <c r="E118" s="14"/>
      <c r="F118" s="14"/>
      <c r="G118" s="23"/>
      <c r="H118" s="25" t="str">
        <f aca="false">IF(G118="","",IF(D118="Anual",G118*10,G118*12))</f>
        <v/>
      </c>
      <c r="I118" s="17" t="str">
        <f aca="true">IF(F118="","",F118-TODAY())</f>
        <v/>
      </c>
      <c r="J118" s="14"/>
      <c r="K118" s="17" t="str">
        <f aca="true">IF(J118="","",J118-TODAY())</f>
        <v/>
      </c>
      <c r="L118" s="22" t="str">
        <f aca="false">IF(A118="","",IF(AND(I118&lt;&gt;"",I118&lt;=30),"Renovar a licença",IF(AND(K118&lt;&gt;"",K118&lt;=15),"Renovar o token","")))</f>
        <v/>
      </c>
      <c r="M118" s="15"/>
      <c r="N118" s="15"/>
    </row>
    <row r="119" customFormat="false" ht="15" hidden="false" customHeight="false" outlineLevel="0" collapsed="false">
      <c r="A119" s="15"/>
      <c r="B119" s="15"/>
      <c r="C119" s="15"/>
      <c r="D119" s="15"/>
      <c r="E119" s="14"/>
      <c r="F119" s="14"/>
      <c r="G119" s="23"/>
      <c r="H119" s="25" t="str">
        <f aca="false">IF(G119="","",IF(D119="Anual",G119*10,G119*12))</f>
        <v/>
      </c>
      <c r="I119" s="17" t="str">
        <f aca="true">IF(F119="","",F119-TODAY())</f>
        <v/>
      </c>
      <c r="J119" s="14"/>
      <c r="K119" s="17" t="str">
        <f aca="true">IF(J119="","",J119-TODAY())</f>
        <v/>
      </c>
      <c r="L119" s="22" t="str">
        <f aca="false">IF(A119="","",IF(AND(I119&lt;&gt;"",I119&lt;=30),"Renovar a licença",IF(AND(K119&lt;&gt;"",K119&lt;=15),"Renovar o token","")))</f>
        <v/>
      </c>
      <c r="M119" s="15"/>
      <c r="N119" s="15"/>
    </row>
    <row r="120" customFormat="false" ht="15" hidden="false" customHeight="false" outlineLevel="0" collapsed="false">
      <c r="A120" s="15"/>
      <c r="B120" s="15"/>
      <c r="C120" s="15"/>
      <c r="D120" s="15"/>
      <c r="E120" s="14"/>
      <c r="F120" s="14"/>
      <c r="G120" s="23"/>
      <c r="H120" s="25" t="str">
        <f aca="false">IF(G120="","",IF(D120="Anual",G120*10,G120*12))</f>
        <v/>
      </c>
      <c r="I120" s="17" t="str">
        <f aca="true">IF(F120="","",F120-TODAY())</f>
        <v/>
      </c>
      <c r="J120" s="14"/>
      <c r="K120" s="17" t="str">
        <f aca="true">IF(J120="","",J120-TODAY())</f>
        <v/>
      </c>
      <c r="L120" s="22" t="str">
        <f aca="false">IF(A120="","",IF(AND(I120&lt;&gt;"",I120&lt;=30),"Renovar a licença",IF(AND(K120&lt;&gt;"",K120&lt;=15),"Renovar o token","")))</f>
        <v/>
      </c>
      <c r="M120" s="15"/>
      <c r="N120" s="15"/>
    </row>
    <row r="121" customFormat="false" ht="15" hidden="false" customHeight="false" outlineLevel="0" collapsed="false">
      <c r="A121" s="15"/>
      <c r="B121" s="15"/>
      <c r="C121" s="15"/>
      <c r="D121" s="15"/>
      <c r="E121" s="14"/>
      <c r="F121" s="14"/>
      <c r="G121" s="23"/>
      <c r="H121" s="25" t="str">
        <f aca="false">IF(G121="","",IF(D121="Anual",G121*10,G121*12))</f>
        <v/>
      </c>
      <c r="I121" s="17" t="str">
        <f aca="true">IF(F121="","",F121-TODAY())</f>
        <v/>
      </c>
      <c r="J121" s="14"/>
      <c r="K121" s="17" t="str">
        <f aca="true">IF(J121="","",J121-TODAY())</f>
        <v/>
      </c>
      <c r="L121" s="22" t="str">
        <f aca="false">IF(A121="","",IF(AND(I121&lt;&gt;"",I121&lt;=30),"Renovar a licença",IF(AND(K121&lt;&gt;"",K121&lt;=15),"Renovar o token","")))</f>
        <v/>
      </c>
      <c r="M121" s="15"/>
      <c r="N121" s="15"/>
    </row>
    <row r="122" customFormat="false" ht="15" hidden="false" customHeight="false" outlineLevel="0" collapsed="false">
      <c r="A122" s="15"/>
      <c r="B122" s="15"/>
      <c r="C122" s="15"/>
      <c r="D122" s="15"/>
      <c r="E122" s="14"/>
      <c r="F122" s="14"/>
      <c r="G122" s="23"/>
      <c r="H122" s="25" t="str">
        <f aca="false">IF(G122="","",IF(D122="Anual",G122*10,G122*12))</f>
        <v/>
      </c>
      <c r="I122" s="17" t="str">
        <f aca="true">IF(F122="","",F122-TODAY())</f>
        <v/>
      </c>
      <c r="J122" s="14"/>
      <c r="K122" s="17" t="str">
        <f aca="true">IF(J122="","",J122-TODAY())</f>
        <v/>
      </c>
      <c r="L122" s="22" t="str">
        <f aca="false">IF(A122="","",IF(AND(I122&lt;&gt;"",I122&lt;=30),"Renovar a licença",IF(AND(K122&lt;&gt;"",K122&lt;=15),"Renovar o token","")))</f>
        <v/>
      </c>
      <c r="M122" s="15"/>
      <c r="N122" s="15"/>
    </row>
    <row r="123" customFormat="false" ht="15" hidden="false" customHeight="false" outlineLevel="0" collapsed="false">
      <c r="A123" s="15"/>
      <c r="B123" s="15"/>
      <c r="C123" s="15"/>
      <c r="D123" s="15"/>
      <c r="E123" s="14"/>
      <c r="F123" s="14"/>
      <c r="G123" s="23"/>
      <c r="H123" s="25" t="str">
        <f aca="false">IF(G123="","",IF(D123="Anual",G123*10,G123*12))</f>
        <v/>
      </c>
      <c r="I123" s="17" t="str">
        <f aca="true">IF(F123="","",F123-TODAY())</f>
        <v/>
      </c>
      <c r="J123" s="14"/>
      <c r="K123" s="17" t="str">
        <f aca="true">IF(J123="","",J123-TODAY())</f>
        <v/>
      </c>
      <c r="L123" s="22" t="str">
        <f aca="false">IF(A123="","",IF(AND(I123&lt;&gt;"",I123&lt;=30),"Renovar a licença",IF(AND(K123&lt;&gt;"",K123&lt;=15),"Renovar o token","")))</f>
        <v/>
      </c>
      <c r="M123" s="15"/>
      <c r="N123" s="15"/>
    </row>
    <row r="124" customFormat="false" ht="15" hidden="false" customHeight="false" outlineLevel="0" collapsed="false">
      <c r="A124" s="15"/>
      <c r="B124" s="15"/>
      <c r="C124" s="15"/>
      <c r="D124" s="15"/>
      <c r="E124" s="14"/>
      <c r="F124" s="14"/>
      <c r="G124" s="23"/>
      <c r="H124" s="25" t="str">
        <f aca="false">IF(G124="","",IF(D124="Anual",G124*10,G124*12))</f>
        <v/>
      </c>
      <c r="I124" s="17" t="str">
        <f aca="true">IF(F124="","",F124-TODAY())</f>
        <v/>
      </c>
      <c r="J124" s="14"/>
      <c r="K124" s="17" t="str">
        <f aca="true">IF(J124="","",J124-TODAY())</f>
        <v/>
      </c>
      <c r="L124" s="22" t="str">
        <f aca="false">IF(A124="","",IF(AND(I124&lt;&gt;"",I124&lt;=30),"Renovar a licença",IF(AND(K124&lt;&gt;"",K124&lt;=15),"Renovar o token","")))</f>
        <v/>
      </c>
      <c r="M124" s="15"/>
      <c r="N124" s="15"/>
    </row>
    <row r="125" customFormat="false" ht="15" hidden="false" customHeight="false" outlineLevel="0" collapsed="false">
      <c r="A125" s="15"/>
      <c r="B125" s="15"/>
      <c r="C125" s="15"/>
      <c r="D125" s="15"/>
      <c r="E125" s="14"/>
      <c r="F125" s="14"/>
      <c r="G125" s="23"/>
      <c r="H125" s="25" t="str">
        <f aca="false">IF(G125="","",IF(D125="Anual",G125*10,G125*12))</f>
        <v/>
      </c>
      <c r="I125" s="17" t="str">
        <f aca="true">IF(F125="","",F125-TODAY())</f>
        <v/>
      </c>
      <c r="J125" s="14"/>
      <c r="K125" s="17" t="str">
        <f aca="true">IF(J125="","",J125-TODAY())</f>
        <v/>
      </c>
      <c r="L125" s="22" t="str">
        <f aca="false">IF(A125="","",IF(AND(I125&lt;&gt;"",I125&lt;=30),"Renovar a licença",IF(AND(K125&lt;&gt;"",K125&lt;=15),"Renovar o token","")))</f>
        <v/>
      </c>
      <c r="M125" s="15"/>
      <c r="N125" s="15"/>
    </row>
    <row r="126" customFormat="false" ht="15" hidden="false" customHeight="false" outlineLevel="0" collapsed="false">
      <c r="A126" s="15"/>
      <c r="B126" s="15"/>
      <c r="C126" s="15"/>
      <c r="D126" s="15"/>
      <c r="E126" s="14"/>
      <c r="F126" s="14"/>
      <c r="G126" s="23"/>
      <c r="H126" s="25" t="str">
        <f aca="false">IF(G126="","",IF(D126="Anual",G126*10,G126*12))</f>
        <v/>
      </c>
      <c r="I126" s="17" t="str">
        <f aca="true">IF(F126="","",F126-TODAY())</f>
        <v/>
      </c>
      <c r="J126" s="14"/>
      <c r="K126" s="17" t="str">
        <f aca="true">IF(J126="","",J126-TODAY())</f>
        <v/>
      </c>
      <c r="L126" s="22" t="str">
        <f aca="false">IF(A126="","",IF(AND(I126&lt;&gt;"",I126&lt;=30),"Renovar a licença",IF(AND(K126&lt;&gt;"",K126&lt;=15),"Renovar o token","")))</f>
        <v/>
      </c>
      <c r="M126" s="15"/>
      <c r="N126" s="15"/>
    </row>
    <row r="127" customFormat="false" ht="15" hidden="false" customHeight="false" outlineLevel="0" collapsed="false">
      <c r="A127" s="15"/>
      <c r="B127" s="15"/>
      <c r="C127" s="15"/>
      <c r="D127" s="15"/>
      <c r="E127" s="14"/>
      <c r="F127" s="14"/>
      <c r="G127" s="23"/>
      <c r="H127" s="25" t="str">
        <f aca="false">IF(G127="","",IF(D127="Anual",G127*10,G127*12))</f>
        <v/>
      </c>
      <c r="I127" s="17" t="str">
        <f aca="true">IF(F127="","",F127-TODAY())</f>
        <v/>
      </c>
      <c r="J127" s="14"/>
      <c r="K127" s="17" t="str">
        <f aca="true">IF(J127="","",J127-TODAY())</f>
        <v/>
      </c>
      <c r="L127" s="22" t="str">
        <f aca="false">IF(A127="","",IF(AND(I127&lt;&gt;"",I127&lt;=30),"Renovar a licença",IF(AND(K127&lt;&gt;"",K127&lt;=15),"Renovar o token","")))</f>
        <v/>
      </c>
      <c r="M127" s="15"/>
      <c r="N127" s="15"/>
    </row>
    <row r="128" customFormat="false" ht="15" hidden="false" customHeight="false" outlineLevel="0" collapsed="false">
      <c r="A128" s="15"/>
      <c r="B128" s="15"/>
      <c r="C128" s="15"/>
      <c r="D128" s="15"/>
      <c r="E128" s="14"/>
      <c r="F128" s="14"/>
      <c r="G128" s="23"/>
      <c r="H128" s="25" t="str">
        <f aca="false">IF(G128="","",IF(D128="Anual",G128*10,G128*12))</f>
        <v/>
      </c>
      <c r="I128" s="17" t="str">
        <f aca="true">IF(F128="","",F128-TODAY())</f>
        <v/>
      </c>
      <c r="J128" s="14"/>
      <c r="K128" s="17" t="str">
        <f aca="true">IF(J128="","",J128-TODAY())</f>
        <v/>
      </c>
      <c r="L128" s="22" t="str">
        <f aca="false">IF(A128="","",IF(AND(I128&lt;&gt;"",I128&lt;=30),"Renovar a licença",IF(AND(K128&lt;&gt;"",K128&lt;=15),"Renovar o token","")))</f>
        <v/>
      </c>
      <c r="M128" s="15"/>
      <c r="N128" s="15"/>
    </row>
    <row r="129" customFormat="false" ht="15" hidden="false" customHeight="false" outlineLevel="0" collapsed="false">
      <c r="A129" s="15"/>
      <c r="B129" s="15"/>
      <c r="C129" s="15"/>
      <c r="D129" s="15"/>
      <c r="E129" s="14"/>
      <c r="F129" s="14"/>
      <c r="G129" s="23"/>
      <c r="H129" s="25" t="str">
        <f aca="false">IF(G129="","",IF(D129="Anual",G129*10,G129*12))</f>
        <v/>
      </c>
      <c r="I129" s="17" t="str">
        <f aca="true">IF(F129="","",F129-TODAY())</f>
        <v/>
      </c>
      <c r="J129" s="14"/>
      <c r="K129" s="17" t="str">
        <f aca="true">IF(J129="","",J129-TODAY())</f>
        <v/>
      </c>
      <c r="L129" s="22" t="str">
        <f aca="false">IF(A129="","",IF(AND(I129&lt;&gt;"",I129&lt;=30),"Renovar a licença",IF(AND(K129&lt;&gt;"",K129&lt;=15),"Renovar o token","")))</f>
        <v/>
      </c>
      <c r="M129" s="15"/>
      <c r="N129" s="15"/>
    </row>
    <row r="130" customFormat="false" ht="15" hidden="false" customHeight="false" outlineLevel="0" collapsed="false">
      <c r="A130" s="15"/>
      <c r="B130" s="15"/>
      <c r="C130" s="15"/>
      <c r="D130" s="15"/>
      <c r="E130" s="14"/>
      <c r="F130" s="14"/>
      <c r="G130" s="23"/>
      <c r="H130" s="25" t="str">
        <f aca="false">IF(G130="","",IF(D130="Anual",G130*10,G130*12))</f>
        <v/>
      </c>
      <c r="I130" s="17" t="str">
        <f aca="true">IF(F130="","",F130-TODAY())</f>
        <v/>
      </c>
      <c r="J130" s="14"/>
      <c r="K130" s="17" t="str">
        <f aca="true">IF(J130="","",J130-TODAY())</f>
        <v/>
      </c>
      <c r="L130" s="22" t="str">
        <f aca="false">IF(A130="","",IF(AND(I130&lt;&gt;"",I130&lt;=30),"Renovar a licença",IF(AND(K130&lt;&gt;"",K130&lt;=15),"Renovar o token","")))</f>
        <v/>
      </c>
      <c r="M130" s="15"/>
      <c r="N130" s="15"/>
    </row>
    <row r="131" customFormat="false" ht="15" hidden="false" customHeight="false" outlineLevel="0" collapsed="false">
      <c r="A131" s="15"/>
      <c r="B131" s="15"/>
      <c r="C131" s="15"/>
      <c r="D131" s="15"/>
      <c r="E131" s="14"/>
      <c r="F131" s="14"/>
      <c r="G131" s="23"/>
      <c r="H131" s="25" t="str">
        <f aca="false">IF(G131="","",IF(D131="Anual",G131*10,G131*12))</f>
        <v/>
      </c>
      <c r="I131" s="17" t="str">
        <f aca="true">IF(F131="","",F131-TODAY())</f>
        <v/>
      </c>
      <c r="J131" s="14"/>
      <c r="K131" s="17" t="str">
        <f aca="true">IF(J131="","",J131-TODAY())</f>
        <v/>
      </c>
      <c r="L131" s="22" t="str">
        <f aca="false">IF(A131="","",IF(AND(I131&lt;&gt;"",I131&lt;=30),"Renovar a licença",IF(AND(K131&lt;&gt;"",K131&lt;=15),"Renovar o token","")))</f>
        <v/>
      </c>
      <c r="M131" s="15"/>
      <c r="N131" s="15"/>
    </row>
    <row r="132" customFormat="false" ht="15" hidden="false" customHeight="false" outlineLevel="0" collapsed="false">
      <c r="A132" s="15"/>
      <c r="B132" s="15"/>
      <c r="C132" s="15"/>
      <c r="D132" s="15"/>
      <c r="E132" s="14"/>
      <c r="F132" s="14"/>
      <c r="G132" s="23"/>
      <c r="H132" s="25" t="str">
        <f aca="false">IF(G132="","",IF(D132="Anual",G132*10,G132*12))</f>
        <v/>
      </c>
      <c r="I132" s="17" t="str">
        <f aca="true">IF(F132="","",F132-TODAY())</f>
        <v/>
      </c>
      <c r="J132" s="14"/>
      <c r="K132" s="17" t="str">
        <f aca="true">IF(J132="","",J132-TODAY())</f>
        <v/>
      </c>
      <c r="L132" s="22" t="str">
        <f aca="false">IF(A132="","",IF(AND(I132&lt;&gt;"",I132&lt;=30),"Renovar a licença",IF(AND(K132&lt;&gt;"",K132&lt;=15),"Renovar o token","")))</f>
        <v/>
      </c>
      <c r="M132" s="15"/>
      <c r="N132" s="15"/>
    </row>
    <row r="133" customFormat="false" ht="15" hidden="false" customHeight="false" outlineLevel="0" collapsed="false">
      <c r="A133" s="15"/>
      <c r="B133" s="15"/>
      <c r="C133" s="15"/>
      <c r="D133" s="15"/>
      <c r="E133" s="14"/>
      <c r="F133" s="14"/>
      <c r="G133" s="23"/>
      <c r="H133" s="25" t="str">
        <f aca="false">IF(G133="","",IF(D133="Anual",G133*10,G133*12))</f>
        <v/>
      </c>
      <c r="I133" s="17" t="str">
        <f aca="true">IF(F133="","",F133-TODAY())</f>
        <v/>
      </c>
      <c r="J133" s="14"/>
      <c r="K133" s="17" t="str">
        <f aca="true">IF(J133="","",J133-TODAY())</f>
        <v/>
      </c>
      <c r="L133" s="22" t="str">
        <f aca="false">IF(A133="","",IF(AND(I133&lt;&gt;"",I133&lt;=30),"Renovar a licença",IF(AND(K133&lt;&gt;"",K133&lt;=15),"Renovar o token","")))</f>
        <v/>
      </c>
      <c r="M133" s="15"/>
      <c r="N133" s="15"/>
    </row>
    <row r="134" customFormat="false" ht="15" hidden="false" customHeight="false" outlineLevel="0" collapsed="false">
      <c r="A134" s="15"/>
      <c r="B134" s="15"/>
      <c r="C134" s="15"/>
      <c r="D134" s="15"/>
      <c r="E134" s="14"/>
      <c r="F134" s="14"/>
      <c r="G134" s="23"/>
      <c r="H134" s="25" t="str">
        <f aca="false">IF(G134="","",IF(D134="Anual",G134*10,G134*12))</f>
        <v/>
      </c>
      <c r="I134" s="17" t="str">
        <f aca="true">IF(F134="","",F134-TODAY())</f>
        <v/>
      </c>
      <c r="J134" s="14"/>
      <c r="K134" s="17" t="str">
        <f aca="true">IF(J134="","",J134-TODAY())</f>
        <v/>
      </c>
      <c r="L134" s="22" t="str">
        <f aca="false">IF(A134="","",IF(AND(I134&lt;&gt;"",I134&lt;=30),"Renovar a licença",IF(AND(K134&lt;&gt;"",K134&lt;=15),"Renovar o token","")))</f>
        <v/>
      </c>
      <c r="M134" s="15"/>
      <c r="N134" s="15"/>
    </row>
    <row r="135" customFormat="false" ht="15" hidden="false" customHeight="false" outlineLevel="0" collapsed="false">
      <c r="A135" s="15"/>
      <c r="B135" s="15"/>
      <c r="C135" s="15"/>
      <c r="D135" s="15"/>
      <c r="E135" s="14"/>
      <c r="F135" s="14"/>
      <c r="G135" s="23"/>
      <c r="H135" s="25" t="str">
        <f aca="false">IF(G135="","",IF(D135="Anual",G135*10,G135*12))</f>
        <v/>
      </c>
      <c r="I135" s="17" t="str">
        <f aca="true">IF(F135="","",F135-TODAY())</f>
        <v/>
      </c>
      <c r="J135" s="14"/>
      <c r="K135" s="17" t="str">
        <f aca="true">IF(J135="","",J135-TODAY())</f>
        <v/>
      </c>
      <c r="L135" s="22" t="str">
        <f aca="false">IF(A135="","",IF(AND(I135&lt;&gt;"",I135&lt;=30),"Renovar a licença",IF(AND(K135&lt;&gt;"",K135&lt;=15),"Renovar o token","")))</f>
        <v/>
      </c>
      <c r="M135" s="15"/>
      <c r="N135" s="15"/>
    </row>
    <row r="136" customFormat="false" ht="15" hidden="false" customHeight="false" outlineLevel="0" collapsed="false">
      <c r="A136" s="15"/>
      <c r="B136" s="15"/>
      <c r="C136" s="15"/>
      <c r="D136" s="15"/>
      <c r="E136" s="14"/>
      <c r="F136" s="14"/>
      <c r="G136" s="23"/>
      <c r="H136" s="25" t="str">
        <f aca="false">IF(G136="","",IF(D136="Anual",G136*10,G136*12))</f>
        <v/>
      </c>
      <c r="I136" s="17" t="str">
        <f aca="true">IF(F136="","",F136-TODAY())</f>
        <v/>
      </c>
      <c r="J136" s="14"/>
      <c r="K136" s="17" t="str">
        <f aca="true">IF(J136="","",J136-TODAY())</f>
        <v/>
      </c>
      <c r="L136" s="22" t="str">
        <f aca="false">IF(A136="","",IF(AND(I136&lt;&gt;"",I136&lt;=30),"Renovar a licença",IF(AND(K136&lt;&gt;"",K136&lt;=15),"Renovar o token","")))</f>
        <v/>
      </c>
      <c r="M136" s="15"/>
      <c r="N136" s="15"/>
    </row>
    <row r="137" customFormat="false" ht="15" hidden="false" customHeight="false" outlineLevel="0" collapsed="false">
      <c r="A137" s="15"/>
      <c r="B137" s="15"/>
      <c r="C137" s="15"/>
      <c r="D137" s="15"/>
      <c r="E137" s="14"/>
      <c r="F137" s="14"/>
      <c r="G137" s="23"/>
      <c r="H137" s="25" t="str">
        <f aca="false">IF(G137="","",IF(D137="Anual",G137*10,G137*12))</f>
        <v/>
      </c>
      <c r="I137" s="17" t="str">
        <f aca="true">IF(F137="","",F137-TODAY())</f>
        <v/>
      </c>
      <c r="J137" s="14"/>
      <c r="K137" s="17" t="str">
        <f aca="true">IF(J137="","",J137-TODAY())</f>
        <v/>
      </c>
      <c r="L137" s="22" t="str">
        <f aca="false">IF(A137="","",IF(AND(I137&lt;&gt;"",I137&lt;=30),"Renovar a licença",IF(AND(K137&lt;&gt;"",K137&lt;=15),"Renovar o token","")))</f>
        <v/>
      </c>
      <c r="M137" s="15"/>
      <c r="N137" s="15"/>
    </row>
    <row r="138" customFormat="false" ht="15" hidden="false" customHeight="false" outlineLevel="0" collapsed="false">
      <c r="A138" s="15"/>
      <c r="B138" s="15"/>
      <c r="C138" s="15"/>
      <c r="D138" s="15"/>
      <c r="E138" s="14"/>
      <c r="F138" s="14"/>
      <c r="G138" s="23"/>
      <c r="H138" s="25" t="str">
        <f aca="false">IF(G138="","",IF(D138="Anual",G138*10,G138*12))</f>
        <v/>
      </c>
      <c r="I138" s="17" t="str">
        <f aca="true">IF(F138="","",F138-TODAY())</f>
        <v/>
      </c>
      <c r="J138" s="14"/>
      <c r="K138" s="17" t="str">
        <f aca="true">IF(J138="","",J138-TODAY())</f>
        <v/>
      </c>
      <c r="L138" s="22" t="str">
        <f aca="false">IF(A138="","",IF(AND(I138&lt;&gt;"",I138&lt;=30),"Renovar a licença",IF(AND(K138&lt;&gt;"",K138&lt;=15),"Renovar o token","")))</f>
        <v/>
      </c>
      <c r="M138" s="15"/>
      <c r="N138" s="15"/>
    </row>
    <row r="139" customFormat="false" ht="15" hidden="false" customHeight="false" outlineLevel="0" collapsed="false">
      <c r="A139" s="15"/>
      <c r="B139" s="15"/>
      <c r="C139" s="15"/>
      <c r="D139" s="15"/>
      <c r="E139" s="14"/>
      <c r="F139" s="14"/>
      <c r="G139" s="23"/>
      <c r="H139" s="25" t="str">
        <f aca="false">IF(G139="","",IF(D139="Anual",G139*10,G139*12))</f>
        <v/>
      </c>
      <c r="I139" s="17" t="str">
        <f aca="true">IF(F139="","",F139-TODAY())</f>
        <v/>
      </c>
      <c r="J139" s="14"/>
      <c r="K139" s="17" t="str">
        <f aca="true">IF(J139="","",J139-TODAY())</f>
        <v/>
      </c>
      <c r="L139" s="22" t="str">
        <f aca="false">IF(A139="","",IF(AND(I139&lt;&gt;"",I139&lt;=30),"Renovar a licença",IF(AND(K139&lt;&gt;"",K139&lt;=15),"Renovar o token","")))</f>
        <v/>
      </c>
      <c r="M139" s="15"/>
      <c r="N139" s="15"/>
    </row>
    <row r="140" customFormat="false" ht="15" hidden="false" customHeight="false" outlineLevel="0" collapsed="false">
      <c r="A140" s="15"/>
      <c r="B140" s="15"/>
      <c r="C140" s="15"/>
      <c r="D140" s="15"/>
      <c r="E140" s="14"/>
      <c r="F140" s="14"/>
      <c r="G140" s="23"/>
      <c r="H140" s="25" t="str">
        <f aca="false">IF(G140="","",IF(D140="Anual",G140*10,G140*12))</f>
        <v/>
      </c>
      <c r="I140" s="17" t="str">
        <f aca="true">IF(F140="","",F140-TODAY())</f>
        <v/>
      </c>
      <c r="J140" s="14"/>
      <c r="K140" s="17" t="str">
        <f aca="true">IF(J140="","",J140-TODAY())</f>
        <v/>
      </c>
      <c r="L140" s="22" t="str">
        <f aca="false">IF(A140="","",IF(AND(I140&lt;&gt;"",I140&lt;=30),"Renovar a licença",IF(AND(K140&lt;&gt;"",K140&lt;=15),"Renovar o token","")))</f>
        <v/>
      </c>
      <c r="M140" s="15"/>
      <c r="N140" s="15"/>
    </row>
    <row r="141" customFormat="false" ht="15" hidden="false" customHeight="false" outlineLevel="0" collapsed="false">
      <c r="A141" s="15"/>
      <c r="B141" s="15"/>
      <c r="C141" s="15"/>
      <c r="D141" s="15"/>
      <c r="E141" s="14"/>
      <c r="F141" s="14"/>
      <c r="G141" s="23"/>
      <c r="H141" s="25" t="str">
        <f aca="false">IF(G141="","",IF(D141="Anual",G141*10,G141*12))</f>
        <v/>
      </c>
      <c r="I141" s="17" t="str">
        <f aca="true">IF(F141="","",F141-TODAY())</f>
        <v/>
      </c>
      <c r="J141" s="14"/>
      <c r="K141" s="17" t="str">
        <f aca="true">IF(J141="","",J141-TODAY())</f>
        <v/>
      </c>
      <c r="L141" s="22" t="str">
        <f aca="false">IF(A141="","",IF(AND(I141&lt;&gt;"",I141&lt;=30),"Renovar a licença",IF(AND(K141&lt;&gt;"",K141&lt;=15),"Renovar o token","")))</f>
        <v/>
      </c>
      <c r="M141" s="15"/>
      <c r="N141" s="15"/>
    </row>
    <row r="142" customFormat="false" ht="15" hidden="false" customHeight="false" outlineLevel="0" collapsed="false">
      <c r="A142" s="15"/>
      <c r="B142" s="15"/>
      <c r="C142" s="15"/>
      <c r="D142" s="15"/>
      <c r="E142" s="14"/>
      <c r="F142" s="14"/>
      <c r="G142" s="23"/>
      <c r="H142" s="25" t="str">
        <f aca="false">IF(G142="","",IF(D142="Anual",G142*10,G142*12))</f>
        <v/>
      </c>
      <c r="I142" s="17" t="str">
        <f aca="true">IF(F142="","",F142-TODAY())</f>
        <v/>
      </c>
      <c r="J142" s="14"/>
      <c r="K142" s="17" t="str">
        <f aca="true">IF(J142="","",J142-TODAY())</f>
        <v/>
      </c>
      <c r="L142" s="22" t="str">
        <f aca="false">IF(A142="","",IF(AND(I142&lt;&gt;"",I142&lt;=30),"Renovar a licença",IF(AND(K142&lt;&gt;"",K142&lt;=15),"Renovar o token","")))</f>
        <v/>
      </c>
      <c r="M142" s="15"/>
      <c r="N142" s="15"/>
    </row>
    <row r="143" customFormat="false" ht="15" hidden="false" customHeight="false" outlineLevel="0" collapsed="false">
      <c r="A143" s="15"/>
      <c r="B143" s="15"/>
      <c r="C143" s="15"/>
      <c r="D143" s="15"/>
      <c r="E143" s="14"/>
      <c r="F143" s="14"/>
      <c r="G143" s="23"/>
      <c r="H143" s="25" t="str">
        <f aca="false">IF(G143="","",IF(D143="Anual",G143*10,G143*12))</f>
        <v/>
      </c>
      <c r="I143" s="17" t="str">
        <f aca="true">IF(F143="","",F143-TODAY())</f>
        <v/>
      </c>
      <c r="J143" s="14"/>
      <c r="K143" s="17" t="str">
        <f aca="true">IF(J143="","",J143-TODAY())</f>
        <v/>
      </c>
      <c r="L143" s="22" t="str">
        <f aca="false">IF(A143="","",IF(AND(I143&lt;&gt;"",I143&lt;=30),"Renovar a licença",IF(AND(K143&lt;&gt;"",K143&lt;=15),"Renovar o token","")))</f>
        <v/>
      </c>
      <c r="M143" s="15"/>
      <c r="N143" s="15"/>
    </row>
    <row r="144" customFormat="false" ht="15" hidden="false" customHeight="false" outlineLevel="0" collapsed="false">
      <c r="A144" s="15"/>
      <c r="B144" s="15"/>
      <c r="C144" s="15"/>
      <c r="D144" s="15"/>
      <c r="E144" s="14"/>
      <c r="F144" s="14"/>
      <c r="G144" s="23"/>
      <c r="H144" s="25" t="str">
        <f aca="false">IF(G144="","",IF(D144="Anual",G144*10,G144*12))</f>
        <v/>
      </c>
      <c r="I144" s="17" t="str">
        <f aca="true">IF(F144="","",F144-TODAY())</f>
        <v/>
      </c>
      <c r="J144" s="14"/>
      <c r="K144" s="17" t="str">
        <f aca="true">IF(J144="","",J144-TODAY())</f>
        <v/>
      </c>
      <c r="L144" s="22" t="str">
        <f aca="false">IF(A144="","",IF(AND(I144&lt;&gt;"",I144&lt;=30),"Renovar a licença",IF(AND(K144&lt;&gt;"",K144&lt;=15),"Renovar o token","")))</f>
        <v/>
      </c>
      <c r="M144" s="15"/>
      <c r="N144" s="15"/>
    </row>
    <row r="145" customFormat="false" ht="15" hidden="false" customHeight="false" outlineLevel="0" collapsed="false">
      <c r="A145" s="15"/>
      <c r="B145" s="15"/>
      <c r="C145" s="15"/>
      <c r="D145" s="15"/>
      <c r="E145" s="14"/>
      <c r="F145" s="14"/>
      <c r="G145" s="23"/>
      <c r="H145" s="25" t="str">
        <f aca="false">IF(G145="","",IF(D145="Anual",G145*10,G145*12))</f>
        <v/>
      </c>
      <c r="I145" s="17" t="str">
        <f aca="true">IF(F145="","",F145-TODAY())</f>
        <v/>
      </c>
      <c r="J145" s="14"/>
      <c r="K145" s="17" t="str">
        <f aca="true">IF(J145="","",J145-TODAY())</f>
        <v/>
      </c>
      <c r="L145" s="22" t="str">
        <f aca="false">IF(A145="","",IF(AND(I145&lt;&gt;"",I145&lt;=30),"Renovar a licença",IF(AND(K145&lt;&gt;"",K145&lt;=15),"Renovar o token","")))</f>
        <v/>
      </c>
      <c r="M145" s="15"/>
      <c r="N145" s="15"/>
    </row>
    <row r="146" customFormat="false" ht="15" hidden="false" customHeight="false" outlineLevel="0" collapsed="false">
      <c r="A146" s="15"/>
      <c r="B146" s="15"/>
      <c r="C146" s="15"/>
      <c r="D146" s="15"/>
      <c r="E146" s="14"/>
      <c r="F146" s="14"/>
      <c r="G146" s="23"/>
      <c r="H146" s="25" t="str">
        <f aca="false">IF(G146="","",IF(D146="Anual",G146*10,G146*12))</f>
        <v/>
      </c>
      <c r="I146" s="17" t="str">
        <f aca="true">IF(F146="","",F146-TODAY())</f>
        <v/>
      </c>
      <c r="J146" s="14"/>
      <c r="K146" s="17" t="str">
        <f aca="true">IF(J146="","",J146-TODAY())</f>
        <v/>
      </c>
      <c r="L146" s="22" t="str">
        <f aca="false">IF(A146="","",IF(AND(I146&lt;&gt;"",I146&lt;=30),"Renovar a licença",IF(AND(K146&lt;&gt;"",K146&lt;=15),"Renovar o token","")))</f>
        <v/>
      </c>
      <c r="M146" s="15"/>
      <c r="N146" s="15"/>
    </row>
    <row r="147" customFormat="false" ht="15" hidden="false" customHeight="false" outlineLevel="0" collapsed="false">
      <c r="A147" s="15"/>
      <c r="B147" s="15"/>
      <c r="C147" s="15"/>
      <c r="D147" s="15"/>
      <c r="E147" s="14"/>
      <c r="F147" s="14"/>
      <c r="G147" s="23"/>
      <c r="H147" s="25" t="str">
        <f aca="false">IF(G147="","",IF(D147="Anual",G147*10,G147*12))</f>
        <v/>
      </c>
      <c r="I147" s="17" t="str">
        <f aca="true">IF(F147="","",F147-TODAY())</f>
        <v/>
      </c>
      <c r="J147" s="14"/>
      <c r="K147" s="17" t="str">
        <f aca="true">IF(J147="","",J147-TODAY())</f>
        <v/>
      </c>
      <c r="L147" s="22" t="str">
        <f aca="false">IF(A147="","",IF(AND(I147&lt;&gt;"",I147&lt;=30),"Renovar a licença",IF(AND(K147&lt;&gt;"",K147&lt;=15),"Renovar o token","")))</f>
        <v/>
      </c>
      <c r="M147" s="15"/>
      <c r="N147" s="15"/>
    </row>
    <row r="148" customFormat="false" ht="15" hidden="false" customHeight="false" outlineLevel="0" collapsed="false">
      <c r="A148" s="15"/>
      <c r="B148" s="15"/>
      <c r="C148" s="15"/>
      <c r="D148" s="15"/>
      <c r="E148" s="14"/>
      <c r="F148" s="14"/>
      <c r="G148" s="23"/>
      <c r="H148" s="25" t="str">
        <f aca="false">IF(G148="","",IF(D148="Anual",G148*10,G148*12))</f>
        <v/>
      </c>
      <c r="I148" s="17" t="str">
        <f aca="true">IF(F148="","",F148-TODAY())</f>
        <v/>
      </c>
      <c r="J148" s="14"/>
      <c r="K148" s="17" t="str">
        <f aca="true">IF(J148="","",J148-TODAY())</f>
        <v/>
      </c>
      <c r="L148" s="22" t="str">
        <f aca="false">IF(A148="","",IF(AND(I148&lt;&gt;"",I148&lt;=30),"Renovar a licença",IF(AND(K148&lt;&gt;"",K148&lt;=15),"Renovar o token","")))</f>
        <v/>
      </c>
      <c r="M148" s="15"/>
      <c r="N148" s="15"/>
    </row>
    <row r="149" customFormat="false" ht="15" hidden="false" customHeight="false" outlineLevel="0" collapsed="false">
      <c r="A149" s="15"/>
      <c r="B149" s="15"/>
      <c r="C149" s="15"/>
      <c r="D149" s="15"/>
      <c r="E149" s="14"/>
      <c r="F149" s="14"/>
      <c r="G149" s="23"/>
      <c r="H149" s="25" t="str">
        <f aca="false">IF(G149="","",IF(D149="Anual",G149*10,G149*12))</f>
        <v/>
      </c>
      <c r="I149" s="17" t="str">
        <f aca="true">IF(F149="","",F149-TODAY())</f>
        <v/>
      </c>
      <c r="J149" s="14"/>
      <c r="K149" s="17" t="str">
        <f aca="true">IF(J149="","",J149-TODAY())</f>
        <v/>
      </c>
      <c r="L149" s="22" t="str">
        <f aca="false">IF(A149="","",IF(AND(I149&lt;&gt;"",I149&lt;=30),"Renovar a licença",IF(AND(K149&lt;&gt;"",K149&lt;=15),"Renovar o token","")))</f>
        <v/>
      </c>
      <c r="M149" s="15"/>
      <c r="N149" s="15"/>
    </row>
    <row r="150" customFormat="false" ht="15" hidden="false" customHeight="false" outlineLevel="0" collapsed="false">
      <c r="A150" s="15"/>
      <c r="B150" s="15"/>
      <c r="C150" s="15"/>
      <c r="D150" s="15"/>
      <c r="E150" s="14"/>
      <c r="F150" s="14"/>
      <c r="G150" s="23"/>
      <c r="H150" s="25" t="str">
        <f aca="false">IF(G150="","",IF(D150="Anual",G150*10,G150*12))</f>
        <v/>
      </c>
      <c r="I150" s="17" t="str">
        <f aca="true">IF(F150="","",F150-TODAY())</f>
        <v/>
      </c>
      <c r="J150" s="14"/>
      <c r="K150" s="17" t="str">
        <f aca="true">IF(J150="","",J150-TODAY())</f>
        <v/>
      </c>
      <c r="L150" s="22" t="str">
        <f aca="false">IF(A150="","",IF(AND(I150&lt;&gt;"",I150&lt;=30),"Renovar a licença",IF(AND(K150&lt;&gt;"",K150&lt;=15),"Renovar o token","")))</f>
        <v/>
      </c>
      <c r="M150" s="15"/>
      <c r="N150" s="15"/>
    </row>
    <row r="151" customFormat="false" ht="15" hidden="false" customHeight="false" outlineLevel="0" collapsed="false">
      <c r="A151" s="15"/>
      <c r="B151" s="15"/>
      <c r="C151" s="15"/>
      <c r="D151" s="15"/>
      <c r="E151" s="14"/>
      <c r="F151" s="14"/>
      <c r="G151" s="23"/>
      <c r="H151" s="25" t="str">
        <f aca="false">IF(G151="","",IF(D151="Anual",G151*10,G151*12))</f>
        <v/>
      </c>
      <c r="I151" s="17" t="str">
        <f aca="true">IF(F151="","",F151-TODAY())</f>
        <v/>
      </c>
      <c r="J151" s="14"/>
      <c r="K151" s="17" t="str">
        <f aca="true">IF(J151="","",J151-TODAY())</f>
        <v/>
      </c>
      <c r="L151" s="22" t="str">
        <f aca="false">IF(A151="","",IF(AND(I151&lt;&gt;"",I151&lt;=30),"Renovar a licença",IF(AND(K151&lt;&gt;"",K151&lt;=15),"Renovar o token","")))</f>
        <v/>
      </c>
      <c r="M151" s="15"/>
      <c r="N151" s="15"/>
    </row>
    <row r="152" customFormat="false" ht="15" hidden="false" customHeight="false" outlineLevel="0" collapsed="false">
      <c r="A152" s="15"/>
      <c r="B152" s="15"/>
      <c r="C152" s="15"/>
      <c r="D152" s="15"/>
      <c r="E152" s="14"/>
      <c r="F152" s="14"/>
      <c r="G152" s="23"/>
      <c r="H152" s="25" t="str">
        <f aca="false">IF(G152="","",IF(D152="Anual",G152*10,G152*12))</f>
        <v/>
      </c>
      <c r="I152" s="17" t="str">
        <f aca="true">IF(F152="","",F152-TODAY())</f>
        <v/>
      </c>
      <c r="J152" s="14"/>
      <c r="K152" s="17" t="str">
        <f aca="true">IF(J152="","",J152-TODAY())</f>
        <v/>
      </c>
      <c r="L152" s="22" t="str">
        <f aca="false">IF(A152="","",IF(AND(I152&lt;&gt;"",I152&lt;=30),"Renovar a licença",IF(AND(K152&lt;&gt;"",K152&lt;=15),"Renovar o token","")))</f>
        <v/>
      </c>
      <c r="M152" s="15"/>
      <c r="N152" s="15"/>
    </row>
    <row r="153" customFormat="false" ht="15" hidden="false" customHeight="false" outlineLevel="0" collapsed="false">
      <c r="A153" s="15"/>
      <c r="B153" s="15"/>
      <c r="C153" s="15"/>
      <c r="D153" s="15"/>
      <c r="E153" s="14"/>
      <c r="F153" s="14"/>
      <c r="G153" s="23"/>
      <c r="H153" s="25" t="str">
        <f aca="false">IF(G153="","",IF(D153="Anual",G153*10,G153*12))</f>
        <v/>
      </c>
      <c r="I153" s="17" t="str">
        <f aca="true">IF(F153="","",F153-TODAY())</f>
        <v/>
      </c>
      <c r="J153" s="14"/>
      <c r="K153" s="17" t="str">
        <f aca="true">IF(J153="","",J153-TODAY())</f>
        <v/>
      </c>
      <c r="L153" s="22" t="str">
        <f aca="false">IF(A153="","",IF(AND(I153&lt;&gt;"",I153&lt;=30),"Renovar a licença",IF(AND(K153&lt;&gt;"",K153&lt;=15),"Renovar o token","")))</f>
        <v/>
      </c>
      <c r="M153" s="15"/>
      <c r="N153" s="15"/>
    </row>
    <row r="154" customFormat="false" ht="15" hidden="false" customHeight="false" outlineLevel="0" collapsed="false">
      <c r="A154" s="15"/>
      <c r="B154" s="15"/>
      <c r="C154" s="15"/>
      <c r="D154" s="15"/>
      <c r="E154" s="14"/>
      <c r="F154" s="14"/>
      <c r="G154" s="23"/>
      <c r="H154" s="25" t="str">
        <f aca="false">IF(G154="","",IF(D154="Anual",G154*10,G154*12))</f>
        <v/>
      </c>
      <c r="I154" s="17" t="str">
        <f aca="true">IF(F154="","",F154-TODAY())</f>
        <v/>
      </c>
      <c r="J154" s="14"/>
      <c r="K154" s="17" t="str">
        <f aca="true">IF(J154="","",J154-TODAY())</f>
        <v/>
      </c>
      <c r="L154" s="22" t="str">
        <f aca="false">IF(A154="","",IF(AND(I154&lt;&gt;"",I154&lt;=30),"Renovar a licença",IF(AND(K154&lt;&gt;"",K154&lt;=15),"Renovar o token","")))</f>
        <v/>
      </c>
      <c r="M154" s="15"/>
      <c r="N154" s="15"/>
    </row>
    <row r="155" customFormat="false" ht="15" hidden="false" customHeight="false" outlineLevel="0" collapsed="false">
      <c r="A155" s="15"/>
      <c r="B155" s="15"/>
      <c r="C155" s="15"/>
      <c r="D155" s="15"/>
      <c r="E155" s="14"/>
      <c r="F155" s="14"/>
      <c r="G155" s="23"/>
      <c r="H155" s="25" t="str">
        <f aca="false">IF(G155="","",IF(D155="Anual",G155*10,G155*12))</f>
        <v/>
      </c>
      <c r="I155" s="17" t="str">
        <f aca="true">IF(F155="","",F155-TODAY())</f>
        <v/>
      </c>
      <c r="J155" s="14"/>
      <c r="K155" s="17" t="str">
        <f aca="true">IF(J155="","",J155-TODAY())</f>
        <v/>
      </c>
      <c r="L155" s="22" t="str">
        <f aca="false">IF(A155="","",IF(AND(I155&lt;&gt;"",I155&lt;=30),"Renovar a licença",IF(AND(K155&lt;&gt;"",K155&lt;=15),"Renovar o token","")))</f>
        <v/>
      </c>
      <c r="M155" s="15"/>
      <c r="N155" s="15"/>
    </row>
    <row r="156" customFormat="false" ht="15" hidden="false" customHeight="false" outlineLevel="0" collapsed="false">
      <c r="A156" s="15"/>
      <c r="B156" s="15"/>
      <c r="C156" s="15"/>
      <c r="D156" s="15"/>
      <c r="E156" s="14"/>
      <c r="F156" s="14"/>
      <c r="G156" s="23"/>
      <c r="H156" s="25" t="str">
        <f aca="false">IF(G156="","",IF(D156="Anual",G156*10,G156*12))</f>
        <v/>
      </c>
      <c r="I156" s="17" t="str">
        <f aca="true">IF(F156="","",F156-TODAY())</f>
        <v/>
      </c>
      <c r="J156" s="14"/>
      <c r="K156" s="17" t="str">
        <f aca="true">IF(J156="","",J156-TODAY())</f>
        <v/>
      </c>
      <c r="L156" s="22" t="str">
        <f aca="false">IF(A156="","",IF(AND(I156&lt;&gt;"",I156&lt;=30),"Renovar a licença",IF(AND(K156&lt;&gt;"",K156&lt;=15),"Renovar o token","")))</f>
        <v/>
      </c>
      <c r="M156" s="15"/>
      <c r="N156" s="15"/>
    </row>
    <row r="157" customFormat="false" ht="15" hidden="false" customHeight="false" outlineLevel="0" collapsed="false">
      <c r="A157" s="15"/>
      <c r="B157" s="15"/>
      <c r="C157" s="15"/>
      <c r="D157" s="15"/>
      <c r="E157" s="14"/>
      <c r="F157" s="14"/>
      <c r="G157" s="23"/>
      <c r="H157" s="25" t="str">
        <f aca="false">IF(G157="","",IF(D157="Anual",G157*10,G157*12))</f>
        <v/>
      </c>
      <c r="I157" s="17" t="str">
        <f aca="true">IF(F157="","",F157-TODAY())</f>
        <v/>
      </c>
      <c r="J157" s="14"/>
      <c r="K157" s="17" t="str">
        <f aca="true">IF(J157="","",J157-TODAY())</f>
        <v/>
      </c>
      <c r="L157" s="22" t="str">
        <f aca="false">IF(A157="","",IF(AND(I157&lt;&gt;"",I157&lt;=30),"Renovar a licença",IF(AND(K157&lt;&gt;"",K157&lt;=15),"Renovar o token","")))</f>
        <v/>
      </c>
      <c r="M157" s="15"/>
      <c r="N157" s="15"/>
    </row>
    <row r="158" customFormat="false" ht="15" hidden="false" customHeight="false" outlineLevel="0" collapsed="false">
      <c r="A158" s="15"/>
      <c r="B158" s="15"/>
      <c r="C158" s="15"/>
      <c r="D158" s="15"/>
      <c r="E158" s="14"/>
      <c r="F158" s="14"/>
      <c r="G158" s="23"/>
      <c r="H158" s="25" t="str">
        <f aca="false">IF(G158="","",IF(D158="Anual",G158*10,G158*12))</f>
        <v/>
      </c>
      <c r="I158" s="17" t="str">
        <f aca="true">IF(F158="","",F158-TODAY())</f>
        <v/>
      </c>
      <c r="J158" s="14"/>
      <c r="K158" s="17" t="str">
        <f aca="true">IF(J158="","",J158-TODAY())</f>
        <v/>
      </c>
      <c r="L158" s="22" t="str">
        <f aca="false">IF(A158="","",IF(AND(I158&lt;&gt;"",I158&lt;=30),"Renovar a licença",IF(AND(K158&lt;&gt;"",K158&lt;=15),"Renovar o token","")))</f>
        <v/>
      </c>
      <c r="M158" s="15"/>
      <c r="N158" s="15"/>
    </row>
    <row r="159" customFormat="false" ht="15" hidden="false" customHeight="false" outlineLevel="0" collapsed="false">
      <c r="A159" s="15"/>
      <c r="B159" s="15"/>
      <c r="C159" s="15"/>
      <c r="D159" s="15"/>
      <c r="E159" s="14"/>
      <c r="F159" s="14"/>
      <c r="G159" s="23"/>
      <c r="H159" s="25" t="str">
        <f aca="false">IF(G159="","",IF(D159="Anual",G159*10,G159*12))</f>
        <v/>
      </c>
      <c r="I159" s="17" t="str">
        <f aca="true">IF(F159="","",F159-TODAY())</f>
        <v/>
      </c>
      <c r="J159" s="14"/>
      <c r="K159" s="17" t="str">
        <f aca="true">IF(J159="","",J159-TODAY())</f>
        <v/>
      </c>
      <c r="L159" s="22" t="str">
        <f aca="false">IF(A159="","",IF(AND(I159&lt;&gt;"",I159&lt;=30),"Renovar a licença",IF(AND(K159&lt;&gt;"",K159&lt;=15),"Renovar o token","")))</f>
        <v/>
      </c>
      <c r="M159" s="15"/>
      <c r="N159" s="15"/>
    </row>
    <row r="160" customFormat="false" ht="15" hidden="false" customHeight="false" outlineLevel="0" collapsed="false">
      <c r="A160" s="15"/>
      <c r="B160" s="15"/>
      <c r="C160" s="15"/>
      <c r="D160" s="15"/>
      <c r="E160" s="14"/>
      <c r="F160" s="14"/>
      <c r="G160" s="23"/>
      <c r="H160" s="25" t="str">
        <f aca="false">IF(G160="","",IF(D160="Anual",G160*10,G160*12))</f>
        <v/>
      </c>
      <c r="I160" s="17" t="str">
        <f aca="true">IF(F160="","",F160-TODAY())</f>
        <v/>
      </c>
      <c r="J160" s="14"/>
      <c r="K160" s="17" t="str">
        <f aca="true">IF(J160="","",J160-TODAY())</f>
        <v/>
      </c>
      <c r="L160" s="22" t="str">
        <f aca="false">IF(A160="","",IF(AND(I160&lt;&gt;"",I160&lt;=30),"Renovar a licença",IF(AND(K160&lt;&gt;"",K160&lt;=15),"Renovar o token","")))</f>
        <v/>
      </c>
      <c r="M160" s="15"/>
      <c r="N160" s="15"/>
    </row>
    <row r="161" customFormat="false" ht="15" hidden="false" customHeight="false" outlineLevel="0" collapsed="false">
      <c r="A161" s="15"/>
      <c r="B161" s="15"/>
      <c r="C161" s="15"/>
      <c r="D161" s="15"/>
      <c r="E161" s="14"/>
      <c r="F161" s="14"/>
      <c r="G161" s="23"/>
      <c r="H161" s="25" t="str">
        <f aca="false">IF(G161="","",IF(D161="Anual",G161*10,G161*12))</f>
        <v/>
      </c>
      <c r="I161" s="17" t="str">
        <f aca="true">IF(F161="","",F161-TODAY())</f>
        <v/>
      </c>
      <c r="J161" s="14"/>
      <c r="K161" s="17" t="str">
        <f aca="true">IF(J161="","",J161-TODAY())</f>
        <v/>
      </c>
      <c r="L161" s="22" t="str">
        <f aca="false">IF(A161="","",IF(AND(I161&lt;&gt;"",I161&lt;=30),"Renovar a licença",IF(AND(K161&lt;&gt;"",K161&lt;=15),"Renovar o token","")))</f>
        <v/>
      </c>
      <c r="M161" s="15"/>
      <c r="N161" s="15"/>
    </row>
    <row r="162" customFormat="false" ht="15" hidden="false" customHeight="false" outlineLevel="0" collapsed="false">
      <c r="A162" s="15"/>
      <c r="B162" s="15"/>
      <c r="C162" s="15"/>
      <c r="D162" s="15"/>
      <c r="E162" s="14"/>
      <c r="F162" s="14"/>
      <c r="G162" s="23"/>
      <c r="H162" s="25" t="str">
        <f aca="false">IF(G162="","",IF(D162="Anual",G162*10,G162*12))</f>
        <v/>
      </c>
      <c r="I162" s="17" t="str">
        <f aca="true">IF(F162="","",F162-TODAY())</f>
        <v/>
      </c>
      <c r="J162" s="14"/>
      <c r="K162" s="17" t="str">
        <f aca="true">IF(J162="","",J162-TODAY())</f>
        <v/>
      </c>
      <c r="L162" s="22" t="str">
        <f aca="false">IF(A162="","",IF(AND(I162&lt;&gt;"",I162&lt;=30),"Renovar a licença",IF(AND(K162&lt;&gt;"",K162&lt;=15),"Renovar o token","")))</f>
        <v/>
      </c>
      <c r="M162" s="15"/>
      <c r="N162" s="15"/>
    </row>
    <row r="163" customFormat="false" ht="15" hidden="false" customHeight="false" outlineLevel="0" collapsed="false">
      <c r="A163" s="15"/>
      <c r="B163" s="15"/>
      <c r="C163" s="15"/>
      <c r="D163" s="15"/>
      <c r="E163" s="14"/>
      <c r="F163" s="14"/>
      <c r="G163" s="23"/>
      <c r="H163" s="25" t="str">
        <f aca="false">IF(G163="","",IF(D163="Anual",G163*10,G163*12))</f>
        <v/>
      </c>
      <c r="I163" s="17" t="str">
        <f aca="true">IF(F163="","",F163-TODAY())</f>
        <v/>
      </c>
      <c r="J163" s="14"/>
      <c r="K163" s="17" t="str">
        <f aca="true">IF(J163="","",J163-TODAY())</f>
        <v/>
      </c>
      <c r="L163" s="22" t="str">
        <f aca="false">IF(A163="","",IF(AND(I163&lt;&gt;"",I163&lt;=30),"Renovar a licença",IF(AND(K163&lt;&gt;"",K163&lt;=15),"Renovar o token","")))</f>
        <v/>
      </c>
      <c r="M163" s="15"/>
      <c r="N163" s="15"/>
    </row>
    <row r="164" customFormat="false" ht="15" hidden="false" customHeight="false" outlineLevel="0" collapsed="false">
      <c r="A164" s="15"/>
      <c r="B164" s="15"/>
      <c r="C164" s="15"/>
      <c r="D164" s="15"/>
      <c r="E164" s="14"/>
      <c r="F164" s="14"/>
      <c r="G164" s="23"/>
      <c r="H164" s="25" t="str">
        <f aca="false">IF(G164="","",IF(D164="Anual",G164*10,G164*12))</f>
        <v/>
      </c>
      <c r="I164" s="17" t="str">
        <f aca="true">IF(F164="","",F164-TODAY())</f>
        <v/>
      </c>
      <c r="J164" s="14"/>
      <c r="K164" s="17" t="str">
        <f aca="true">IF(J164="","",J164-TODAY())</f>
        <v/>
      </c>
      <c r="L164" s="22" t="str">
        <f aca="false">IF(A164="","",IF(AND(I164&lt;&gt;"",I164&lt;=30),"Renovar a licença",IF(AND(K164&lt;&gt;"",K164&lt;=15),"Renovar o token","")))</f>
        <v/>
      </c>
      <c r="M164" s="15"/>
      <c r="N164" s="15"/>
    </row>
    <row r="165" customFormat="false" ht="15" hidden="false" customHeight="false" outlineLevel="0" collapsed="false">
      <c r="A165" s="15"/>
      <c r="B165" s="15"/>
      <c r="C165" s="15"/>
      <c r="D165" s="15"/>
      <c r="E165" s="14"/>
      <c r="F165" s="14"/>
      <c r="G165" s="23"/>
      <c r="H165" s="25" t="str">
        <f aca="false">IF(G165="","",IF(D165="Anual",G165*10,G165*12))</f>
        <v/>
      </c>
      <c r="I165" s="17" t="str">
        <f aca="true">IF(F165="","",F165-TODAY())</f>
        <v/>
      </c>
      <c r="J165" s="14"/>
      <c r="K165" s="17" t="str">
        <f aca="true">IF(J165="","",J165-TODAY())</f>
        <v/>
      </c>
      <c r="L165" s="22" t="str">
        <f aca="false">IF(A165="","",IF(AND(I165&lt;&gt;"",I165&lt;=30),"Renovar a licença",IF(AND(K165&lt;&gt;"",K165&lt;=15),"Renovar o token","")))</f>
        <v/>
      </c>
      <c r="M165" s="15"/>
      <c r="N165" s="15"/>
    </row>
    <row r="166" customFormat="false" ht="15" hidden="false" customHeight="false" outlineLevel="0" collapsed="false">
      <c r="A166" s="15"/>
      <c r="B166" s="15"/>
      <c r="C166" s="15"/>
      <c r="D166" s="15"/>
      <c r="E166" s="14"/>
      <c r="F166" s="14"/>
      <c r="G166" s="23"/>
      <c r="H166" s="25" t="str">
        <f aca="false">IF(G166="","",IF(D166="Anual",G166*10,G166*12))</f>
        <v/>
      </c>
      <c r="I166" s="17" t="str">
        <f aca="true">IF(F166="","",F166-TODAY())</f>
        <v/>
      </c>
      <c r="J166" s="14"/>
      <c r="K166" s="17" t="str">
        <f aca="true">IF(J166="","",J166-TODAY())</f>
        <v/>
      </c>
      <c r="L166" s="22" t="str">
        <f aca="false">IF(A166="","",IF(AND(I166&lt;&gt;"",I166&lt;=30),"Renovar a licença",IF(AND(K166&lt;&gt;"",K166&lt;=15),"Renovar o token","")))</f>
        <v/>
      </c>
      <c r="M166" s="15"/>
      <c r="N166" s="15"/>
    </row>
    <row r="167" customFormat="false" ht="15" hidden="false" customHeight="false" outlineLevel="0" collapsed="false">
      <c r="A167" s="15"/>
      <c r="B167" s="15"/>
      <c r="C167" s="15"/>
      <c r="D167" s="15"/>
      <c r="E167" s="14"/>
      <c r="F167" s="14"/>
      <c r="G167" s="23"/>
      <c r="H167" s="25" t="str">
        <f aca="false">IF(G167="","",IF(D167="Anual",G167*10,G167*12))</f>
        <v/>
      </c>
      <c r="I167" s="17" t="str">
        <f aca="true">IF(F167="","",F167-TODAY())</f>
        <v/>
      </c>
      <c r="J167" s="14"/>
      <c r="K167" s="17" t="str">
        <f aca="true">IF(J167="","",J167-TODAY())</f>
        <v/>
      </c>
      <c r="L167" s="22" t="str">
        <f aca="false">IF(A167="","",IF(AND(I167&lt;&gt;"",I167&lt;=30),"Renovar a licença",IF(AND(K167&lt;&gt;"",K167&lt;=15),"Renovar o token","")))</f>
        <v/>
      </c>
      <c r="M167" s="15"/>
      <c r="N167" s="15"/>
    </row>
    <row r="168" customFormat="false" ht="15" hidden="false" customHeight="false" outlineLevel="0" collapsed="false">
      <c r="A168" s="15"/>
      <c r="B168" s="15"/>
      <c r="C168" s="15"/>
      <c r="D168" s="15"/>
      <c r="E168" s="14"/>
      <c r="F168" s="14"/>
      <c r="G168" s="23"/>
      <c r="H168" s="25" t="str">
        <f aca="false">IF(G168="","",IF(D168="Anual",G168*10,G168*12))</f>
        <v/>
      </c>
      <c r="I168" s="17" t="str">
        <f aca="true">IF(F168="","",F168-TODAY())</f>
        <v/>
      </c>
      <c r="J168" s="14"/>
      <c r="K168" s="17" t="str">
        <f aca="true">IF(J168="","",J168-TODAY())</f>
        <v/>
      </c>
      <c r="L168" s="22" t="str">
        <f aca="false">IF(A168="","",IF(AND(I168&lt;&gt;"",I168&lt;=30),"Renovar a licença",IF(AND(K168&lt;&gt;"",K168&lt;=15),"Renovar o token","")))</f>
        <v/>
      </c>
      <c r="M168" s="15"/>
      <c r="N168" s="15"/>
    </row>
    <row r="169" customFormat="false" ht="15" hidden="false" customHeight="false" outlineLevel="0" collapsed="false">
      <c r="A169" s="15"/>
      <c r="B169" s="15"/>
      <c r="C169" s="15"/>
      <c r="D169" s="15"/>
      <c r="E169" s="14"/>
      <c r="F169" s="14"/>
      <c r="G169" s="23"/>
      <c r="H169" s="25" t="str">
        <f aca="false">IF(G169="","",IF(D169="Anual",G169*10,G169*12))</f>
        <v/>
      </c>
      <c r="I169" s="17" t="str">
        <f aca="true">IF(F169="","",F169-TODAY())</f>
        <v/>
      </c>
      <c r="J169" s="14"/>
      <c r="K169" s="17" t="str">
        <f aca="true">IF(J169="","",J169-TODAY())</f>
        <v/>
      </c>
      <c r="L169" s="22" t="str">
        <f aca="false">IF(A169="","",IF(AND(I169&lt;&gt;"",I169&lt;=30),"Renovar a licença",IF(AND(K169&lt;&gt;"",K169&lt;=15),"Renovar o token","")))</f>
        <v/>
      </c>
      <c r="M169" s="15"/>
      <c r="N169" s="15"/>
    </row>
    <row r="170" customFormat="false" ht="15" hidden="false" customHeight="false" outlineLevel="0" collapsed="false">
      <c r="A170" s="15"/>
      <c r="B170" s="15"/>
      <c r="C170" s="15"/>
      <c r="D170" s="15"/>
      <c r="E170" s="14"/>
      <c r="F170" s="14"/>
      <c r="G170" s="23"/>
      <c r="H170" s="25" t="str">
        <f aca="false">IF(G170="","",IF(D170="Anual",G170*10,G170*12))</f>
        <v/>
      </c>
      <c r="I170" s="17" t="str">
        <f aca="true">IF(F170="","",F170-TODAY())</f>
        <v/>
      </c>
      <c r="J170" s="14"/>
      <c r="K170" s="17" t="str">
        <f aca="true">IF(J170="","",J170-TODAY())</f>
        <v/>
      </c>
      <c r="L170" s="22" t="str">
        <f aca="false">IF(A170="","",IF(AND(I170&lt;&gt;"",I170&lt;=30),"Renovar a licença",IF(AND(K170&lt;&gt;"",K170&lt;=15),"Renovar o token","")))</f>
        <v/>
      </c>
      <c r="M170" s="15"/>
      <c r="N170" s="15"/>
    </row>
    <row r="171" customFormat="false" ht="15" hidden="false" customHeight="false" outlineLevel="0" collapsed="false">
      <c r="A171" s="15"/>
      <c r="B171" s="15"/>
      <c r="C171" s="15"/>
      <c r="D171" s="15"/>
      <c r="E171" s="14"/>
      <c r="F171" s="14"/>
      <c r="G171" s="23"/>
      <c r="H171" s="25" t="str">
        <f aca="false">IF(G171="","",IF(D171="Anual",G171*10,G171*12))</f>
        <v/>
      </c>
      <c r="I171" s="17" t="str">
        <f aca="true">IF(F171="","",F171-TODAY())</f>
        <v/>
      </c>
      <c r="J171" s="14"/>
      <c r="K171" s="17" t="str">
        <f aca="true">IF(J171="","",J171-TODAY())</f>
        <v/>
      </c>
      <c r="L171" s="22" t="str">
        <f aca="false">IF(A171="","",IF(AND(I171&lt;&gt;"",I171&lt;=30),"Renovar a licença",IF(AND(K171&lt;&gt;"",K171&lt;=15),"Renovar o token","")))</f>
        <v/>
      </c>
      <c r="M171" s="15"/>
      <c r="N171" s="15"/>
    </row>
    <row r="172" customFormat="false" ht="15" hidden="false" customHeight="false" outlineLevel="0" collapsed="false">
      <c r="A172" s="15"/>
      <c r="B172" s="15"/>
      <c r="C172" s="15"/>
      <c r="D172" s="15"/>
      <c r="E172" s="14"/>
      <c r="F172" s="14"/>
      <c r="G172" s="23"/>
      <c r="H172" s="25" t="str">
        <f aca="false">IF(G172="","",IF(D172="Anual",G172*10,G172*12))</f>
        <v/>
      </c>
      <c r="I172" s="17" t="str">
        <f aca="true">IF(F172="","",F172-TODAY())</f>
        <v/>
      </c>
      <c r="J172" s="14"/>
      <c r="K172" s="17" t="str">
        <f aca="true">IF(J172="","",J172-TODAY())</f>
        <v/>
      </c>
      <c r="L172" s="22" t="str">
        <f aca="false">IF(A172="","",IF(AND(I172&lt;&gt;"",I172&lt;=30),"Renovar a licença",IF(AND(K172&lt;&gt;"",K172&lt;=15),"Renovar o token","")))</f>
        <v/>
      </c>
      <c r="M172" s="15"/>
      <c r="N172" s="15"/>
    </row>
    <row r="173" customFormat="false" ht="15" hidden="false" customHeight="false" outlineLevel="0" collapsed="false">
      <c r="A173" s="15"/>
      <c r="B173" s="15"/>
      <c r="C173" s="15"/>
      <c r="D173" s="15"/>
      <c r="E173" s="14"/>
      <c r="F173" s="14"/>
      <c r="G173" s="23"/>
      <c r="H173" s="25" t="str">
        <f aca="false">IF(G173="","",IF(D173="Anual",G173*10,G173*12))</f>
        <v/>
      </c>
      <c r="I173" s="17" t="str">
        <f aca="true">IF(F173="","",F173-TODAY())</f>
        <v/>
      </c>
      <c r="J173" s="14"/>
      <c r="K173" s="17" t="str">
        <f aca="true">IF(J173="","",J173-TODAY())</f>
        <v/>
      </c>
      <c r="L173" s="22" t="str">
        <f aca="false">IF(A173="","",IF(AND(I173&lt;&gt;"",I173&lt;=30),"Renovar a licença",IF(AND(K173&lt;&gt;"",K173&lt;=15),"Renovar o token","")))</f>
        <v/>
      </c>
      <c r="M173" s="15"/>
      <c r="N173" s="15"/>
    </row>
    <row r="174" customFormat="false" ht="15" hidden="false" customHeight="false" outlineLevel="0" collapsed="false">
      <c r="A174" s="15"/>
      <c r="B174" s="15"/>
      <c r="C174" s="15"/>
      <c r="D174" s="15"/>
      <c r="E174" s="14"/>
      <c r="F174" s="14"/>
      <c r="G174" s="23"/>
      <c r="H174" s="25" t="str">
        <f aca="false">IF(G174="","",IF(D174="Anual",G174*10,G174*12))</f>
        <v/>
      </c>
      <c r="I174" s="17" t="str">
        <f aca="true">IF(F174="","",F174-TODAY())</f>
        <v/>
      </c>
      <c r="J174" s="14"/>
      <c r="K174" s="17" t="str">
        <f aca="true">IF(J174="","",J174-TODAY())</f>
        <v/>
      </c>
      <c r="L174" s="22" t="str">
        <f aca="false">IF(A174="","",IF(AND(I174&lt;&gt;"",I174&lt;=30),"Renovar a licença",IF(AND(K174&lt;&gt;"",K174&lt;=15),"Renovar o token","")))</f>
        <v/>
      </c>
      <c r="M174" s="15"/>
      <c r="N174" s="15"/>
    </row>
    <row r="175" customFormat="false" ht="15" hidden="false" customHeight="false" outlineLevel="0" collapsed="false">
      <c r="A175" s="15"/>
      <c r="B175" s="15"/>
      <c r="C175" s="15"/>
      <c r="D175" s="15"/>
      <c r="E175" s="14"/>
      <c r="F175" s="14"/>
      <c r="G175" s="23"/>
      <c r="H175" s="25" t="str">
        <f aca="false">IF(G175="","",IF(D175="Anual",G175*10,G175*12))</f>
        <v/>
      </c>
      <c r="I175" s="17" t="str">
        <f aca="true">IF(F175="","",F175-TODAY())</f>
        <v/>
      </c>
      <c r="J175" s="14"/>
      <c r="K175" s="17" t="str">
        <f aca="true">IF(J175="","",J175-TODAY())</f>
        <v/>
      </c>
      <c r="L175" s="22" t="str">
        <f aca="false">IF(A175="","",IF(AND(I175&lt;&gt;"",I175&lt;=30),"Renovar a licença",IF(AND(K175&lt;&gt;"",K175&lt;=15),"Renovar o token","")))</f>
        <v/>
      </c>
      <c r="M175" s="15"/>
      <c r="N175" s="15"/>
    </row>
    <row r="176" customFormat="false" ht="15" hidden="false" customHeight="false" outlineLevel="0" collapsed="false">
      <c r="A176" s="15"/>
      <c r="B176" s="15"/>
      <c r="C176" s="15"/>
      <c r="D176" s="15"/>
      <c r="E176" s="14"/>
      <c r="F176" s="14"/>
      <c r="G176" s="23"/>
      <c r="H176" s="25" t="str">
        <f aca="false">IF(G176="","",IF(D176="Anual",G176*10,G176*12))</f>
        <v/>
      </c>
      <c r="I176" s="17" t="str">
        <f aca="true">IF(F176="","",F176-TODAY())</f>
        <v/>
      </c>
      <c r="J176" s="14"/>
      <c r="K176" s="17" t="str">
        <f aca="true">IF(J176="","",J176-TODAY())</f>
        <v/>
      </c>
      <c r="L176" s="22" t="str">
        <f aca="false">IF(A176="","",IF(AND(I176&lt;&gt;"",I176&lt;=30),"Renovar a licença",IF(AND(K176&lt;&gt;"",K176&lt;=15),"Renovar o token","")))</f>
        <v/>
      </c>
      <c r="M176" s="15"/>
      <c r="N176" s="15"/>
    </row>
    <row r="177" customFormat="false" ht="15" hidden="false" customHeight="false" outlineLevel="0" collapsed="false">
      <c r="A177" s="15"/>
      <c r="B177" s="15"/>
      <c r="C177" s="15"/>
      <c r="D177" s="15"/>
      <c r="E177" s="14"/>
      <c r="F177" s="14"/>
      <c r="G177" s="23"/>
      <c r="H177" s="25" t="str">
        <f aca="false">IF(G177="","",IF(D177="Anual",G177*10,G177*12))</f>
        <v/>
      </c>
      <c r="I177" s="17" t="str">
        <f aca="true">IF(F177="","",F177-TODAY())</f>
        <v/>
      </c>
      <c r="J177" s="14"/>
      <c r="K177" s="17" t="str">
        <f aca="true">IF(J177="","",J177-TODAY())</f>
        <v/>
      </c>
      <c r="L177" s="22" t="str">
        <f aca="false">IF(A177="","",IF(AND(I177&lt;&gt;"",I177&lt;=30),"Renovar a licença",IF(AND(K177&lt;&gt;"",K177&lt;=15),"Renovar o token","")))</f>
        <v/>
      </c>
      <c r="M177" s="15"/>
      <c r="N177" s="15"/>
    </row>
    <row r="178" customFormat="false" ht="15" hidden="false" customHeight="false" outlineLevel="0" collapsed="false">
      <c r="A178" s="15"/>
      <c r="B178" s="15"/>
      <c r="C178" s="15"/>
      <c r="D178" s="15"/>
      <c r="E178" s="14"/>
      <c r="F178" s="14"/>
      <c r="G178" s="23"/>
      <c r="H178" s="25" t="str">
        <f aca="false">IF(G178="","",IF(D178="Anual",G178*10,G178*12))</f>
        <v/>
      </c>
      <c r="I178" s="17" t="str">
        <f aca="true">IF(F178="","",F178-TODAY())</f>
        <v/>
      </c>
      <c r="J178" s="14"/>
      <c r="K178" s="17" t="str">
        <f aca="true">IF(J178="","",J178-TODAY())</f>
        <v/>
      </c>
      <c r="L178" s="22" t="str">
        <f aca="false">IF(A178="","",IF(AND(I178&lt;&gt;"",I178&lt;=30),"Renovar a licença",IF(AND(K178&lt;&gt;"",K178&lt;=15),"Renovar o token","")))</f>
        <v/>
      </c>
      <c r="M178" s="15"/>
      <c r="N178" s="15"/>
    </row>
    <row r="179" customFormat="false" ht="15" hidden="false" customHeight="false" outlineLevel="0" collapsed="false">
      <c r="A179" s="15"/>
      <c r="B179" s="15"/>
      <c r="C179" s="15"/>
      <c r="D179" s="15"/>
      <c r="E179" s="14"/>
      <c r="F179" s="14"/>
      <c r="G179" s="23"/>
      <c r="H179" s="25" t="str">
        <f aca="false">IF(G179="","",IF(D179="Anual",G179*10,G179*12))</f>
        <v/>
      </c>
      <c r="I179" s="17" t="str">
        <f aca="true">IF(F179="","",F179-TODAY())</f>
        <v/>
      </c>
      <c r="J179" s="14"/>
      <c r="K179" s="17" t="str">
        <f aca="true">IF(J179="","",J179-TODAY())</f>
        <v/>
      </c>
      <c r="L179" s="22" t="str">
        <f aca="false">IF(A179="","",IF(AND(I179&lt;&gt;"",I179&lt;=30),"Renovar a licença",IF(AND(K179&lt;&gt;"",K179&lt;=15),"Renovar o token","")))</f>
        <v/>
      </c>
      <c r="M179" s="15"/>
      <c r="N179" s="15"/>
    </row>
    <row r="180" customFormat="false" ht="15" hidden="false" customHeight="false" outlineLevel="0" collapsed="false">
      <c r="A180" s="15"/>
      <c r="B180" s="15"/>
      <c r="C180" s="15"/>
      <c r="D180" s="15"/>
      <c r="E180" s="14"/>
      <c r="F180" s="14"/>
      <c r="G180" s="23"/>
      <c r="H180" s="25" t="str">
        <f aca="false">IF(G180="","",IF(D180="Anual",G180*10,G180*12))</f>
        <v/>
      </c>
      <c r="I180" s="17" t="str">
        <f aca="true">IF(F180="","",F180-TODAY())</f>
        <v/>
      </c>
      <c r="J180" s="14"/>
      <c r="K180" s="17" t="str">
        <f aca="true">IF(J180="","",J180-TODAY())</f>
        <v/>
      </c>
      <c r="L180" s="22" t="str">
        <f aca="false">IF(A180="","",IF(AND(I180&lt;&gt;"",I180&lt;=30),"Renovar a licença",IF(AND(K180&lt;&gt;"",K180&lt;=15),"Renovar o token","")))</f>
        <v/>
      </c>
      <c r="M180" s="15"/>
      <c r="N180" s="15"/>
    </row>
    <row r="181" customFormat="false" ht="15" hidden="false" customHeight="false" outlineLevel="0" collapsed="false">
      <c r="A181" s="15"/>
      <c r="B181" s="15"/>
      <c r="C181" s="15"/>
      <c r="D181" s="15"/>
      <c r="E181" s="14"/>
      <c r="F181" s="14"/>
      <c r="G181" s="23"/>
      <c r="H181" s="25" t="str">
        <f aca="false">IF(G181="","",IF(D181="Anual",G181*10,G181*12))</f>
        <v/>
      </c>
      <c r="I181" s="17" t="str">
        <f aca="true">IF(F181="","",F181-TODAY())</f>
        <v/>
      </c>
      <c r="J181" s="14"/>
      <c r="K181" s="17" t="str">
        <f aca="true">IF(J181="","",J181-TODAY())</f>
        <v/>
      </c>
      <c r="L181" s="22" t="str">
        <f aca="false">IF(A181="","",IF(AND(I181&lt;&gt;"",I181&lt;=30),"Renovar a licença",IF(AND(K181&lt;&gt;"",K181&lt;=15),"Renovar o token","")))</f>
        <v/>
      </c>
      <c r="M181" s="15"/>
      <c r="N181" s="15"/>
    </row>
    <row r="182" customFormat="false" ht="15" hidden="false" customHeight="false" outlineLevel="0" collapsed="false">
      <c r="A182" s="15"/>
      <c r="B182" s="15"/>
      <c r="C182" s="15"/>
      <c r="D182" s="15"/>
      <c r="E182" s="14"/>
      <c r="F182" s="14"/>
      <c r="G182" s="23"/>
      <c r="H182" s="25" t="str">
        <f aca="false">IF(G182="","",IF(D182="Anual",G182*10,G182*12))</f>
        <v/>
      </c>
      <c r="I182" s="17" t="str">
        <f aca="true">IF(F182="","",F182-TODAY())</f>
        <v/>
      </c>
      <c r="J182" s="14"/>
      <c r="K182" s="17" t="str">
        <f aca="true">IF(J182="","",J182-TODAY())</f>
        <v/>
      </c>
      <c r="L182" s="22" t="str">
        <f aca="false">IF(A182="","",IF(AND(I182&lt;&gt;"",I182&lt;=30),"Renovar a licença",IF(AND(K182&lt;&gt;"",K182&lt;=15),"Renovar o token","")))</f>
        <v/>
      </c>
      <c r="M182" s="15"/>
      <c r="N182" s="15"/>
    </row>
    <row r="183" customFormat="false" ht="15" hidden="false" customHeight="false" outlineLevel="0" collapsed="false">
      <c r="A183" s="15"/>
      <c r="B183" s="15"/>
      <c r="C183" s="15"/>
      <c r="D183" s="15"/>
      <c r="E183" s="14"/>
      <c r="F183" s="14"/>
      <c r="G183" s="23"/>
      <c r="H183" s="25" t="str">
        <f aca="false">IF(G183="","",IF(D183="Anual",G183*10,G183*12))</f>
        <v/>
      </c>
      <c r="I183" s="17" t="str">
        <f aca="true">IF(F183="","",F183-TODAY())</f>
        <v/>
      </c>
      <c r="J183" s="14"/>
      <c r="K183" s="17" t="str">
        <f aca="true">IF(J183="","",J183-TODAY())</f>
        <v/>
      </c>
      <c r="L183" s="22" t="str">
        <f aca="false">IF(A183="","",IF(AND(I183&lt;&gt;"",I183&lt;=30),"Renovar a licença",IF(AND(K183&lt;&gt;"",K183&lt;=15),"Renovar o token","")))</f>
        <v/>
      </c>
      <c r="M183" s="15"/>
      <c r="N183" s="15"/>
    </row>
    <row r="184" customFormat="false" ht="15" hidden="false" customHeight="false" outlineLevel="0" collapsed="false">
      <c r="A184" s="15"/>
      <c r="B184" s="15"/>
      <c r="C184" s="15"/>
      <c r="D184" s="15"/>
      <c r="E184" s="14"/>
      <c r="F184" s="14"/>
      <c r="G184" s="23"/>
      <c r="H184" s="25" t="str">
        <f aca="false">IF(G184="","",IF(D184="Anual",G184*10,G184*12))</f>
        <v/>
      </c>
      <c r="I184" s="17" t="str">
        <f aca="true">IF(F184="","",F184-TODAY())</f>
        <v/>
      </c>
      <c r="J184" s="14"/>
      <c r="K184" s="17" t="str">
        <f aca="true">IF(J184="","",J184-TODAY())</f>
        <v/>
      </c>
      <c r="L184" s="22" t="str">
        <f aca="false">IF(A184="","",IF(AND(I184&lt;&gt;"",I184&lt;=30),"Renovar a licença",IF(AND(K184&lt;&gt;"",K184&lt;=15),"Renovar o token","")))</f>
        <v/>
      </c>
      <c r="M184" s="15"/>
      <c r="N184" s="15"/>
    </row>
    <row r="185" customFormat="false" ht="15" hidden="false" customHeight="false" outlineLevel="0" collapsed="false">
      <c r="A185" s="15"/>
      <c r="B185" s="15"/>
      <c r="C185" s="15"/>
      <c r="D185" s="15"/>
      <c r="E185" s="14"/>
      <c r="F185" s="14"/>
      <c r="G185" s="23"/>
      <c r="H185" s="25" t="str">
        <f aca="false">IF(G185="","",IF(D185="Anual",G185*10,G185*12))</f>
        <v/>
      </c>
      <c r="I185" s="17" t="str">
        <f aca="true">IF(F185="","",F185-TODAY())</f>
        <v/>
      </c>
      <c r="J185" s="14"/>
      <c r="K185" s="17" t="str">
        <f aca="true">IF(J185="","",J185-TODAY())</f>
        <v/>
      </c>
      <c r="L185" s="22" t="str">
        <f aca="false">IF(A185="","",IF(AND(I185&lt;&gt;"",I185&lt;=30),"Renovar a licença",IF(AND(K185&lt;&gt;"",K185&lt;=15),"Renovar o token","")))</f>
        <v/>
      </c>
      <c r="M185" s="15"/>
      <c r="N185" s="15"/>
    </row>
    <row r="186" customFormat="false" ht="15" hidden="false" customHeight="false" outlineLevel="0" collapsed="false">
      <c r="A186" s="15"/>
      <c r="B186" s="15"/>
      <c r="C186" s="15"/>
      <c r="D186" s="15"/>
      <c r="E186" s="14"/>
      <c r="F186" s="14"/>
      <c r="G186" s="23"/>
      <c r="H186" s="25" t="str">
        <f aca="false">IF(G186="","",IF(D186="Anual",G186*10,G186*12))</f>
        <v/>
      </c>
      <c r="I186" s="17" t="str">
        <f aca="true">IF(F186="","",F186-TODAY())</f>
        <v/>
      </c>
      <c r="J186" s="14"/>
      <c r="K186" s="17" t="str">
        <f aca="true">IF(J186="","",J186-TODAY())</f>
        <v/>
      </c>
      <c r="L186" s="22" t="str">
        <f aca="false">IF(A186="","",IF(AND(I186&lt;&gt;"",I186&lt;=30),"Renovar a licença",IF(AND(K186&lt;&gt;"",K186&lt;=15),"Renovar o token","")))</f>
        <v/>
      </c>
      <c r="M186" s="15"/>
      <c r="N186" s="15"/>
    </row>
    <row r="187" customFormat="false" ht="15" hidden="false" customHeight="false" outlineLevel="0" collapsed="false">
      <c r="A187" s="15"/>
      <c r="B187" s="15"/>
      <c r="C187" s="15"/>
      <c r="D187" s="15"/>
      <c r="E187" s="14"/>
      <c r="F187" s="14"/>
      <c r="G187" s="23"/>
      <c r="H187" s="25" t="str">
        <f aca="false">IF(G187="","",IF(D187="Anual",G187*10,G187*12))</f>
        <v/>
      </c>
      <c r="I187" s="17" t="str">
        <f aca="true">IF(F187="","",F187-TODAY())</f>
        <v/>
      </c>
      <c r="J187" s="14"/>
      <c r="K187" s="17" t="str">
        <f aca="true">IF(J187="","",J187-TODAY())</f>
        <v/>
      </c>
      <c r="L187" s="22" t="str">
        <f aca="false">IF(A187="","",IF(AND(I187&lt;&gt;"",I187&lt;=30),"Renovar a licença",IF(AND(K187&lt;&gt;"",K187&lt;=15),"Renovar o token","")))</f>
        <v/>
      </c>
      <c r="M187" s="15"/>
      <c r="N187" s="15"/>
    </row>
    <row r="188" customFormat="false" ht="15" hidden="false" customHeight="false" outlineLevel="0" collapsed="false">
      <c r="A188" s="15"/>
      <c r="B188" s="15"/>
      <c r="C188" s="15"/>
      <c r="D188" s="15"/>
      <c r="E188" s="14"/>
      <c r="F188" s="14"/>
      <c r="G188" s="23"/>
      <c r="H188" s="25" t="str">
        <f aca="false">IF(G188="","",IF(D188="Anual",G188*10,G188*12))</f>
        <v/>
      </c>
      <c r="I188" s="17" t="str">
        <f aca="true">IF(F188="","",F188-TODAY())</f>
        <v/>
      </c>
      <c r="J188" s="14"/>
      <c r="K188" s="17" t="str">
        <f aca="true">IF(J188="","",J188-TODAY())</f>
        <v/>
      </c>
      <c r="L188" s="22" t="str">
        <f aca="false">IF(A188="","",IF(AND(I188&lt;&gt;"",I188&lt;=30),"Renovar a licença",IF(AND(K188&lt;&gt;"",K188&lt;=15),"Renovar o token","")))</f>
        <v/>
      </c>
      <c r="M188" s="15"/>
      <c r="N188" s="15"/>
    </row>
    <row r="189" customFormat="false" ht="15" hidden="false" customHeight="false" outlineLevel="0" collapsed="false">
      <c r="A189" s="15"/>
      <c r="B189" s="15"/>
      <c r="C189" s="15"/>
      <c r="D189" s="15"/>
      <c r="E189" s="14"/>
      <c r="F189" s="14"/>
      <c r="G189" s="23"/>
      <c r="H189" s="25" t="str">
        <f aca="false">IF(G189="","",IF(D189="Anual",G189*10,G189*12))</f>
        <v/>
      </c>
      <c r="I189" s="17" t="str">
        <f aca="true">IF(F189="","",F189-TODAY())</f>
        <v/>
      </c>
      <c r="J189" s="14"/>
      <c r="K189" s="17" t="str">
        <f aca="true">IF(J189="","",J189-TODAY())</f>
        <v/>
      </c>
      <c r="L189" s="22" t="str">
        <f aca="false">IF(A189="","",IF(AND(I189&lt;&gt;"",I189&lt;=30),"Renovar a licença",IF(AND(K189&lt;&gt;"",K189&lt;=15),"Renovar o token","")))</f>
        <v/>
      </c>
      <c r="M189" s="15"/>
      <c r="N189" s="15"/>
    </row>
    <row r="190" customFormat="false" ht="15" hidden="false" customHeight="false" outlineLevel="0" collapsed="false">
      <c r="A190" s="15"/>
      <c r="B190" s="15"/>
      <c r="C190" s="15"/>
      <c r="D190" s="15"/>
      <c r="E190" s="14"/>
      <c r="F190" s="14"/>
      <c r="G190" s="23"/>
      <c r="H190" s="25" t="str">
        <f aca="false">IF(G190="","",IF(D190="Anual",G190*10,G190*12))</f>
        <v/>
      </c>
      <c r="I190" s="17" t="str">
        <f aca="true">IF(F190="","",F190-TODAY())</f>
        <v/>
      </c>
      <c r="J190" s="14"/>
      <c r="K190" s="17" t="str">
        <f aca="true">IF(J190="","",J190-TODAY())</f>
        <v/>
      </c>
      <c r="L190" s="22" t="str">
        <f aca="false">IF(A190="","",IF(AND(I190&lt;&gt;"",I190&lt;=30),"Renovar a licença",IF(AND(K190&lt;&gt;"",K190&lt;=15),"Renovar o token","")))</f>
        <v/>
      </c>
      <c r="M190" s="15"/>
      <c r="N190" s="15"/>
    </row>
    <row r="191" customFormat="false" ht="15" hidden="false" customHeight="false" outlineLevel="0" collapsed="false">
      <c r="A191" s="15"/>
      <c r="B191" s="15"/>
      <c r="C191" s="15"/>
      <c r="D191" s="15"/>
      <c r="E191" s="14"/>
      <c r="F191" s="14"/>
      <c r="G191" s="23"/>
      <c r="H191" s="25" t="str">
        <f aca="false">IF(G191="","",IF(D191="Anual",G191*10,G191*12))</f>
        <v/>
      </c>
      <c r="I191" s="17" t="str">
        <f aca="true">IF(F191="","",F191-TODAY())</f>
        <v/>
      </c>
      <c r="J191" s="14"/>
      <c r="K191" s="17" t="str">
        <f aca="true">IF(J191="","",J191-TODAY())</f>
        <v/>
      </c>
      <c r="L191" s="22" t="str">
        <f aca="false">IF(A191="","",IF(AND(I191&lt;&gt;"",I191&lt;=30),"Renovar a licença",IF(AND(K191&lt;&gt;"",K191&lt;=15),"Renovar o token","")))</f>
        <v/>
      </c>
      <c r="M191" s="15"/>
      <c r="N191" s="15"/>
    </row>
    <row r="192" customFormat="false" ht="15" hidden="false" customHeight="false" outlineLevel="0" collapsed="false">
      <c r="A192" s="15"/>
      <c r="B192" s="15"/>
      <c r="C192" s="15"/>
      <c r="D192" s="15"/>
      <c r="E192" s="14"/>
      <c r="F192" s="14"/>
      <c r="G192" s="23"/>
      <c r="H192" s="25" t="str">
        <f aca="false">IF(G192="","",IF(D192="Anual",G192*10,G192*12))</f>
        <v/>
      </c>
      <c r="I192" s="17" t="str">
        <f aca="true">IF(F192="","",F192-TODAY())</f>
        <v/>
      </c>
      <c r="J192" s="14"/>
      <c r="K192" s="17" t="str">
        <f aca="true">IF(J192="","",J192-TODAY())</f>
        <v/>
      </c>
      <c r="L192" s="22" t="str">
        <f aca="false">IF(A192="","",IF(AND(I192&lt;&gt;"",I192&lt;=30),"Renovar a licença",IF(AND(K192&lt;&gt;"",K192&lt;=15),"Renovar o token","")))</f>
        <v/>
      </c>
      <c r="M192" s="15"/>
      <c r="N192" s="15"/>
    </row>
    <row r="193" customFormat="false" ht="15" hidden="false" customHeight="false" outlineLevel="0" collapsed="false">
      <c r="A193" s="15"/>
      <c r="B193" s="15"/>
      <c r="C193" s="15"/>
      <c r="D193" s="15"/>
      <c r="E193" s="14"/>
      <c r="F193" s="14"/>
      <c r="G193" s="23"/>
      <c r="H193" s="25" t="str">
        <f aca="false">IF(G193="","",IF(D193="Anual",G193*10,G193*12))</f>
        <v/>
      </c>
      <c r="I193" s="17" t="str">
        <f aca="true">IF(F193="","",F193-TODAY())</f>
        <v/>
      </c>
      <c r="J193" s="14"/>
      <c r="K193" s="17" t="str">
        <f aca="true">IF(J193="","",J193-TODAY())</f>
        <v/>
      </c>
      <c r="L193" s="22" t="str">
        <f aca="false">IF(A193="","",IF(AND(I193&lt;&gt;"",I193&lt;=30),"Renovar a licença",IF(AND(K193&lt;&gt;"",K193&lt;=15),"Renovar o token","")))</f>
        <v/>
      </c>
      <c r="M193" s="15"/>
      <c r="N193" s="15"/>
    </row>
    <row r="194" customFormat="false" ht="15" hidden="false" customHeight="false" outlineLevel="0" collapsed="false">
      <c r="A194" s="15"/>
      <c r="B194" s="15"/>
      <c r="C194" s="15"/>
      <c r="D194" s="15"/>
      <c r="E194" s="14"/>
      <c r="F194" s="14"/>
      <c r="G194" s="23"/>
      <c r="H194" s="25" t="str">
        <f aca="false">IF(G194="","",IF(D194="Anual",G194*10,G194*12))</f>
        <v/>
      </c>
      <c r="I194" s="17" t="str">
        <f aca="true">IF(F194="","",F194-TODAY())</f>
        <v/>
      </c>
      <c r="J194" s="14"/>
      <c r="K194" s="17" t="str">
        <f aca="true">IF(J194="","",J194-TODAY())</f>
        <v/>
      </c>
      <c r="L194" s="22" t="str">
        <f aca="false">IF(A194="","",IF(AND(I194&lt;&gt;"",I194&lt;=30),"Renovar a licença",IF(AND(K194&lt;&gt;"",K194&lt;=15),"Renovar o token","")))</f>
        <v/>
      </c>
      <c r="M194" s="15"/>
      <c r="N194" s="15"/>
    </row>
    <row r="195" customFormat="false" ht="15" hidden="false" customHeight="false" outlineLevel="0" collapsed="false">
      <c r="A195" s="15"/>
      <c r="B195" s="15"/>
      <c r="C195" s="15"/>
      <c r="D195" s="15"/>
      <c r="E195" s="14"/>
      <c r="F195" s="14"/>
      <c r="G195" s="23"/>
      <c r="H195" s="25" t="str">
        <f aca="false">IF(G195="","",IF(D195="Anual",G195*10,G195*12))</f>
        <v/>
      </c>
      <c r="I195" s="17" t="str">
        <f aca="true">IF(F195="","",F195-TODAY())</f>
        <v/>
      </c>
      <c r="J195" s="14"/>
      <c r="K195" s="17" t="str">
        <f aca="true">IF(J195="","",J195-TODAY())</f>
        <v/>
      </c>
      <c r="L195" s="22" t="str">
        <f aca="false">IF(A195="","",IF(AND(I195&lt;&gt;"",I195&lt;=30),"Renovar a licença",IF(AND(K195&lt;&gt;"",K195&lt;=15),"Renovar o token","")))</f>
        <v/>
      </c>
      <c r="M195" s="15"/>
      <c r="N195" s="15"/>
    </row>
    <row r="196" customFormat="false" ht="15" hidden="false" customHeight="false" outlineLevel="0" collapsed="false">
      <c r="A196" s="15"/>
      <c r="B196" s="15"/>
      <c r="C196" s="15"/>
      <c r="D196" s="15"/>
      <c r="E196" s="14"/>
      <c r="F196" s="14"/>
      <c r="G196" s="23"/>
      <c r="H196" s="25" t="str">
        <f aca="false">IF(G196="","",IF(D196="Anual",G196*10,G196*12))</f>
        <v/>
      </c>
      <c r="I196" s="17" t="str">
        <f aca="true">IF(F196="","",F196-TODAY())</f>
        <v/>
      </c>
      <c r="J196" s="14"/>
      <c r="K196" s="17" t="str">
        <f aca="true">IF(J196="","",J196-TODAY())</f>
        <v/>
      </c>
      <c r="L196" s="22" t="str">
        <f aca="false">IF(A196="","",IF(AND(I196&lt;&gt;"",I196&lt;=30),"Renovar a licença",IF(AND(K196&lt;&gt;"",K196&lt;=15),"Renovar o token","")))</f>
        <v/>
      </c>
      <c r="M196" s="15"/>
      <c r="N196" s="15"/>
    </row>
    <row r="197" customFormat="false" ht="15" hidden="false" customHeight="false" outlineLevel="0" collapsed="false">
      <c r="A197" s="15"/>
      <c r="B197" s="15"/>
      <c r="C197" s="15"/>
      <c r="D197" s="15"/>
      <c r="E197" s="14"/>
      <c r="F197" s="14"/>
      <c r="G197" s="23"/>
      <c r="H197" s="25" t="str">
        <f aca="false">IF(G197="","",IF(D197="Anual",G197*10,G197*12))</f>
        <v/>
      </c>
      <c r="I197" s="17" t="str">
        <f aca="true">IF(F197="","",F197-TODAY())</f>
        <v/>
      </c>
      <c r="J197" s="14"/>
      <c r="K197" s="17" t="str">
        <f aca="true">IF(J197="","",J197-TODAY())</f>
        <v/>
      </c>
      <c r="L197" s="22" t="str">
        <f aca="false">IF(A197="","",IF(AND(I197&lt;&gt;"",I197&lt;=30),"Renovar a licença",IF(AND(K197&lt;&gt;"",K197&lt;=15),"Renovar o token","")))</f>
        <v/>
      </c>
      <c r="M197" s="15"/>
      <c r="N197" s="15"/>
    </row>
    <row r="198" customFormat="false" ht="15" hidden="false" customHeight="false" outlineLevel="0" collapsed="false">
      <c r="A198" s="15"/>
      <c r="B198" s="15"/>
      <c r="C198" s="15"/>
      <c r="D198" s="15"/>
      <c r="E198" s="14"/>
      <c r="F198" s="14"/>
      <c r="G198" s="23"/>
      <c r="H198" s="25" t="str">
        <f aca="false">IF(G198="","",IF(D198="Anual",G198*10,G198*12))</f>
        <v/>
      </c>
      <c r="I198" s="17" t="str">
        <f aca="true">IF(F198="","",F198-TODAY())</f>
        <v/>
      </c>
      <c r="J198" s="14"/>
      <c r="K198" s="17" t="str">
        <f aca="true">IF(J198="","",J198-TODAY())</f>
        <v/>
      </c>
      <c r="L198" s="22" t="str">
        <f aca="false">IF(A198="","",IF(AND(I198&lt;&gt;"",I198&lt;=30),"Renovar a licença",IF(AND(K198&lt;&gt;"",K198&lt;=15),"Renovar o token","")))</f>
        <v/>
      </c>
      <c r="M198" s="15"/>
      <c r="N198" s="15"/>
    </row>
    <row r="199" customFormat="false" ht="15" hidden="false" customHeight="false" outlineLevel="0" collapsed="false">
      <c r="A199" s="15"/>
      <c r="B199" s="15"/>
      <c r="C199" s="15"/>
      <c r="D199" s="15"/>
      <c r="E199" s="14"/>
      <c r="F199" s="14"/>
      <c r="G199" s="23"/>
      <c r="H199" s="25" t="str">
        <f aca="false">IF(G199="","",IF(D199="Anual",G199*10,G199*12))</f>
        <v/>
      </c>
      <c r="I199" s="17" t="str">
        <f aca="true">IF(F199="","",F199-TODAY())</f>
        <v/>
      </c>
      <c r="J199" s="14"/>
      <c r="K199" s="17" t="str">
        <f aca="true">IF(J199="","",J199-TODAY())</f>
        <v/>
      </c>
      <c r="L199" s="22" t="str">
        <f aca="false">IF(A199="","",IF(AND(I199&lt;&gt;"",I199&lt;=30),"Renovar a licença",IF(AND(K199&lt;&gt;"",K199&lt;=15),"Renovar o token","")))</f>
        <v/>
      </c>
      <c r="M199" s="15"/>
      <c r="N199" s="15"/>
    </row>
    <row r="200" customFormat="false" ht="15" hidden="false" customHeight="false" outlineLevel="0" collapsed="false">
      <c r="A200" s="15"/>
      <c r="B200" s="15"/>
      <c r="C200" s="15"/>
      <c r="D200" s="15"/>
      <c r="E200" s="14"/>
      <c r="F200" s="14"/>
      <c r="G200" s="23"/>
      <c r="H200" s="25" t="str">
        <f aca="false">IF(G200="","",IF(D200="Anual",G200*10,G200*12))</f>
        <v/>
      </c>
      <c r="I200" s="17" t="str">
        <f aca="true">IF(F200="","",F200-TODAY())</f>
        <v/>
      </c>
      <c r="J200" s="14"/>
      <c r="K200" s="17" t="str">
        <f aca="true">IF(J200="","",J200-TODAY())</f>
        <v/>
      </c>
      <c r="L200" s="22" t="str">
        <f aca="false">IF(A200="","",IF(AND(I200&lt;&gt;"",I200&lt;=30),"Renovar a licença",IF(AND(K200&lt;&gt;"",K200&lt;=15),"Renovar o token","")))</f>
        <v/>
      </c>
      <c r="M200" s="15"/>
      <c r="N200" s="15"/>
    </row>
    <row r="201" customFormat="false" ht="15" hidden="false" customHeight="false" outlineLevel="0" collapsed="false">
      <c r="A201" s="15"/>
      <c r="B201" s="15"/>
      <c r="C201" s="15"/>
      <c r="D201" s="15"/>
      <c r="E201" s="14"/>
      <c r="F201" s="14"/>
      <c r="G201" s="23"/>
      <c r="H201" s="25" t="str">
        <f aca="false">IF(G201="","",IF(D201="Anual",G201*10,G201*12))</f>
        <v/>
      </c>
      <c r="I201" s="17" t="str">
        <f aca="true">IF(F201="","",F201-TODAY())</f>
        <v/>
      </c>
      <c r="J201" s="14"/>
      <c r="K201" s="17" t="str">
        <f aca="true">IF(J201="","",J201-TODAY())</f>
        <v/>
      </c>
      <c r="L201" s="22" t="str">
        <f aca="false">IF(A201="","",IF(AND(I201&lt;&gt;"",I201&lt;=30),"Renovar a licença",IF(AND(K201&lt;&gt;"",K201&lt;=15),"Renovar o token","")))</f>
        <v/>
      </c>
      <c r="M201" s="15"/>
      <c r="N201" s="15"/>
    </row>
  </sheetData>
  <autoFilter ref="A1:N201"/>
  <conditionalFormatting sqref="L2:L201">
    <cfRule type="expression" priority="2" aboveAverage="0" equalAverage="0" bottom="0" percent="0" rank="0" text="" dxfId="6">
      <formula>L2&lt;&gt;""</formula>
    </cfRule>
  </conditionalFormatting>
  <dataValidations count="2">
    <dataValidation allowBlank="true" error="Escolha um valor da lista" errorStyle="stop" operator="between" showDropDown="false" showErrorMessage="false" showInputMessage="false" sqref="C2:C201" type="list">
      <formula1>"Essencial,Profissional,Enterprise"</formula1>
      <formula2>0</formula2>
    </dataValidation>
    <dataValidation allowBlank="true" error="Escolha um valor da lista" errorStyle="stop" operator="between" showDropDown="false" showErrorMessage="false" showInputMessage="false" sqref="D2:D201" type="list">
      <formula1>"Mensal,Anual"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6" t="s">
        <v>81</v>
      </c>
    </row>
    <row r="2" customFormat="false" ht="15" hidden="false" customHeight="false" outlineLevel="0" collapsed="false">
      <c r="A2" s="27" t="s">
        <v>82</v>
      </c>
    </row>
    <row r="3" customFormat="false" ht="15" hidden="false" customHeight="false" outlineLevel="0" collapsed="false">
      <c r="A3" s="27" t="s">
        <v>83</v>
      </c>
    </row>
    <row r="4" customFormat="false" ht="15" hidden="false" customHeight="false" outlineLevel="0" collapsed="false">
      <c r="A4" s="27" t="s">
        <v>84</v>
      </c>
    </row>
    <row r="5" customFormat="false" ht="15" hidden="false" customHeight="false" outlineLevel="0" collapsed="false">
      <c r="A5" s="27"/>
    </row>
    <row r="6" customFormat="false" ht="15" hidden="false" customHeight="false" outlineLevel="0" collapsed="false">
      <c r="A6" s="27" t="s">
        <v>85</v>
      </c>
    </row>
    <row r="7" customFormat="false" ht="15" hidden="false" customHeight="false" outlineLevel="0" collapsed="false">
      <c r="A7" s="27" t="s">
        <v>86</v>
      </c>
    </row>
    <row r="8" customFormat="false" ht="15" hidden="false" customHeight="false" outlineLevel="0" collapsed="false">
      <c r="A8" s="27" t="s">
        <v>87</v>
      </c>
    </row>
    <row r="9" customFormat="false" ht="15" hidden="false" customHeight="false" outlineLevel="0" collapsed="false">
      <c r="A9" s="27" t="s">
        <v>88</v>
      </c>
    </row>
    <row r="10" customFormat="false" ht="15" hidden="false" customHeight="false" outlineLevel="0" collapsed="false">
      <c r="A10" s="27" t="s">
        <v>89</v>
      </c>
    </row>
    <row r="11" customFormat="false" ht="15" hidden="false" customHeight="false" outlineLevel="0" collapsed="false">
      <c r="A11" s="27"/>
    </row>
    <row r="12" customFormat="false" ht="15" hidden="false" customHeight="false" outlineLevel="0" collapsed="false">
      <c r="A12" s="27" t="s">
        <v>90</v>
      </c>
    </row>
    <row r="13" customFormat="false" ht="15" hidden="false" customHeight="false" outlineLevel="0" collapsed="false">
      <c r="A13" s="27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2026-10-27T19:35:26Z</dcterms:created>
  <dc:creator>openpyxl</dc:creator>
  <dc:description/>
  <dc:language>en-US</dc:language>
  <cp:lastModifiedBy/>
  <dcterms:modified xsi:type="dcterms:W3CDTF">2026-10-27T19:35:26Z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